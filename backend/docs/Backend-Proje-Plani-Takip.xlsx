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500" firstSheet="0" activeTab="0" autoFilterDateGrouping="1"/>
  </bookViews>
  <sheets>
    <sheet xmlns:r="http://schemas.openxmlformats.org/officeDocument/2006/relationships" name="Görev Takibi" sheetId="1" state="visible" r:id="rId1"/>
    <sheet xmlns:r="http://schemas.openxmlformats.org/officeDocument/2006/relationships" name="Özet" sheetId="2" state="visible" r:id="rId2"/>
    <sheet xmlns:r="http://schemas.openxmlformats.org/officeDocument/2006/relationships" name="Denetim Bulguları" sheetId="3" state="visible" r:id="rId3"/>
  </sheets>
  <definedNames>
    <definedName name="_xlnm._FilterDatabase" localSheetId="0" hidden="1">'Görev Takibi'!$A$1:$J$60</definedName>
    <definedName name="_xlnm._FilterDatabase" localSheetId="2" hidden="1">'Denetim Bulguları'!$A$1:$F$23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107C10"/>
      <sz val="12"/>
    </font>
    <font>
      <name val="Arial"/>
      <charset val="1"/>
      <b val="1"/>
      <color rgb="FF1F3864"/>
      <sz val="14"/>
    </font>
    <font>
      <name val="Arial"/>
      <charset val="1"/>
      <i val="1"/>
      <color rgb="FF595959"/>
      <sz val="10"/>
    </font>
    <font>
      <name val="Arial"/>
      <charset val="1"/>
      <i val="1"/>
      <color rgb="FF808080"/>
      <sz val="9"/>
    </font>
    <font>
      <name val="Arial"/>
      <charset val="1"/>
      <b val="1"/>
      <color rgb="FFC00000"/>
      <sz val="10"/>
    </font>
  </fonts>
  <fills count="8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E8E8E8"/>
      </patternFill>
    </fill>
    <fill>
      <patternFill patternType="solid">
        <fgColor rgb="FFFFC7CE"/>
        <bgColor rgb="FFFFD9A0"/>
      </patternFill>
    </fill>
    <fill>
      <patternFill patternType="solid">
        <fgColor rgb="FFFFD9A0"/>
        <bgColor rgb="FFFFC7CE"/>
      </patternFill>
    </fill>
    <fill>
      <patternFill patternType="solid">
        <fgColor rgb="FFFFF2CC"/>
        <bgColor rgb="FFE8E8E8"/>
      </patternFill>
    </fill>
    <fill>
      <patternFill patternType="solid">
        <fgColor rgb="FFE8E8E8"/>
        <bgColor rgb="FFD9E2F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/>
    </xf>
    <xf numFmtId="0" fontId="3" fillId="0" borderId="1" applyAlignment="1" pivotButton="0" quotePrefix="0" xfId="0">
      <alignment horizontal="center" vertical="top"/>
    </xf>
    <xf numFmtId="0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2" fontId="3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9" fontId="3" fillId="0" borderId="1" applyAlignment="1" pivotButton="0" quotePrefix="0" xfId="0">
      <alignment horizontal="center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2" fontId="2" fillId="3" borderId="1" applyAlignment="1" pivotButton="0" quotePrefix="0" xfId="0">
      <alignment horizontal="center"/>
    </xf>
    <xf numFmtId="9" fontId="2" fillId="3" borderId="1" applyAlignment="1" pivotButton="0" quotePrefix="0" xfId="0">
      <alignment horizontal="center"/>
    </xf>
    <xf numFmtId="0" fontId="8" fillId="0" borderId="0" pivotButton="0" quotePrefix="0" xfId="0"/>
    <xf numFmtId="0" fontId="3" fillId="0" borderId="0" pivotButton="0" quotePrefix="0" xfId="0"/>
    <xf numFmtId="0" fontId="2" fillId="0" borderId="1" applyAlignment="1" pivotButton="0" quotePrefix="0" xfId="0">
      <alignment vertical="top"/>
    </xf>
    <xf numFmtId="0" fontId="3" fillId="4" borderId="1" applyAlignment="1" pivotButton="0" quotePrefix="0" xfId="0">
      <alignment horizontal="center" vertical="top"/>
    </xf>
    <xf numFmtId="0" fontId="3" fillId="5" borderId="1" applyAlignment="1" pivotButton="0" quotePrefix="0" xfId="0">
      <alignment horizontal="center" vertical="top"/>
    </xf>
    <xf numFmtId="0" fontId="3" fillId="6" borderId="1" applyAlignment="1" pivotButton="0" quotePrefix="0" xfId="0">
      <alignment horizontal="center" vertical="top"/>
    </xf>
    <xf numFmtId="0" fontId="3" fillId="7" borderId="1" applyAlignment="1" pivotButton="0" quotePrefix="0" xfId="0">
      <alignment horizontal="center" vertical="top"/>
    </xf>
  </cellXfs>
  <cellStyles count="1">
    <cellStyle name="Normal" xfId="0" builtinId="0"/>
  </cellStyles>
  <dxfs count="2">
    <dxf>
      <fill>
        <patternFill>
          <bgColor rgb="FFD5EFD5"/>
        </patternFill>
      </fill>
    </dxf>
    <dxf>
      <fill>
        <patternFill>
          <bgColor rgb="FFD5EFD5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07C1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8E8E8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5EFD5"/>
      <rgbColor rgb="FFFFFF99"/>
      <rgbColor rgb="FF99CCFF"/>
      <rgbColor rgb="FFFFC7CE"/>
      <rgbColor rgb="FFCC99FF"/>
      <rgbColor rgb="FFFFD9A0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0"/>
  <sheetViews>
    <sheetView tabSelected="1" zoomScaleNormal="100" workbookViewId="0">
      <pane xSplit="2" ySplit="1" topLeftCell="C19" activePane="bottomRight" state="frozen"/>
      <selection pane="topRight" activeCell="C1" sqref="C1"/>
      <selection pane="bottomLeft" activeCell="A2" sqref="A2"/>
      <selection pane="bottomRight" activeCell="M33" sqref="M33"/>
    </sheetView>
  </sheetViews>
  <sheetFormatPr baseColWidth="8" defaultColWidth="8.7109375" defaultRowHeight="15"/>
  <cols>
    <col width="26" customWidth="1" min="1" max="1"/>
    <col width="6" customWidth="1" min="2" max="2"/>
    <col width="78" customWidth="1" min="3" max="3"/>
    <col width="6" customWidth="1" min="4" max="4"/>
    <col width="16" customWidth="1" min="5" max="5"/>
    <col width="9" customWidth="1" min="6" max="6"/>
    <col width="12" customWidth="1" min="7" max="7"/>
    <col width="14" customWidth="1" min="8" max="8"/>
    <col width="11" customWidth="1" min="9" max="9"/>
    <col width="26" customWidth="1" min="10" max="10"/>
  </cols>
  <sheetData>
    <row r="1" ht="31.5" customHeight="1">
      <c r="A1" s="1" t="inlineStr">
        <is>
          <t>Faz</t>
        </is>
      </c>
      <c r="B1" s="1" t="inlineStr">
        <is>
          <t>No</t>
        </is>
      </c>
      <c r="C1" s="1" t="inlineStr">
        <is>
          <t>Görev</t>
        </is>
      </c>
      <c r="D1" s="1" t="inlineStr">
        <is>
          <t>Gün</t>
        </is>
      </c>
      <c r="E1" s="1" t="inlineStr">
        <is>
          <t>Tarih</t>
        </is>
      </c>
      <c r="F1" s="1" t="inlineStr">
        <is>
          <t>Efor (sa)</t>
        </is>
      </c>
      <c r="G1" s="1" t="inlineStr">
        <is>
          <t>Bağımlılık</t>
        </is>
      </c>
      <c r="H1" s="1" t="inlineStr">
        <is>
          <t>Kapattığı bulgu</t>
        </is>
      </c>
      <c r="I1" s="1" t="inlineStr">
        <is>
          <t>Yapıldı mı?</t>
        </is>
      </c>
      <c r="J1" s="1" t="inlineStr">
        <is>
          <t>Not</t>
        </is>
      </c>
    </row>
    <row r="2" ht="25.5" customHeight="1">
      <c r="A2" s="2" t="inlineStr">
        <is>
          <t>Faz 0 — Temizlik ve Zemin</t>
        </is>
      </c>
      <c r="B2" s="3" t="inlineStr">
        <is>
          <t>0.1</t>
        </is>
      </c>
      <c r="C2" s="4" t="inlineStr">
        <is>
          <t>.gitignore'u genişlet: myvenv/, .venv/, *.db, __pycache__/, .env, .idea/, .vscode/, .pytest_cache/</t>
        </is>
      </c>
      <c r="D2" s="3" t="n">
        <v>1</v>
      </c>
      <c r="E2" s="5" t="inlineStr">
        <is>
          <t>18.08.2026 Sal</t>
        </is>
      </c>
      <c r="F2" s="6" t="n">
        <v>0.33</v>
      </c>
      <c r="G2" s="5" t="inlineStr">
        <is>
          <t>—</t>
        </is>
      </c>
      <c r="H2" s="5" t="inlineStr">
        <is>
          <t>B-03</t>
        </is>
      </c>
      <c r="I2" s="7" t="inlineStr">
        <is>
          <t>✓</t>
        </is>
      </c>
      <c r="J2" s="4" t="n"/>
    </row>
    <row r="3" ht="15.75" customHeight="1">
      <c r="A3" s="2" t="inlineStr">
        <is>
          <t>Faz 0 — Temizlik ve Zemin</t>
        </is>
      </c>
      <c r="B3" s="3" t="inlineStr">
        <is>
          <t>0.2</t>
        </is>
      </c>
      <c r="C3" s="4" t="inlineStr">
        <is>
          <t>git rm -r --cached myvenv dev.db v1_db.db ile takipten çıkar ve commit'le</t>
        </is>
      </c>
      <c r="D3" s="3" t="n">
        <v>1</v>
      </c>
      <c r="E3" s="5" t="inlineStr">
        <is>
          <t>18.08.2026 Sal</t>
        </is>
      </c>
      <c r="F3" s="6" t="n">
        <v>0.33</v>
      </c>
      <c r="G3" s="5" t="inlineStr">
        <is>
          <t>0.1</t>
        </is>
      </c>
      <c r="H3" s="5" t="inlineStr">
        <is>
          <t>B-03</t>
        </is>
      </c>
      <c r="I3" s="7" t="inlineStr">
        <is>
          <t>✓</t>
        </is>
      </c>
      <c r="J3" s="4" t="inlineStr">
        <is>
          <t>Kontrol edilemedi: git deposu bu klasörde görünmüyor. 'git ls-files myvenv dev.db v1_db.db' boş dönmeli.</t>
        </is>
      </c>
    </row>
    <row r="4" ht="25.5" customHeight="1">
      <c r="A4" s="2" t="inlineStr">
        <is>
          <t>Faz 0 — Temizlik ve Zemin</t>
        </is>
      </c>
      <c r="B4" s="3" t="inlineStr">
        <is>
          <t>0.3</t>
        </is>
      </c>
      <c r="C4" s="4" t="inlineStr">
        <is>
          <t>requirements.txt düzelt: aiosqltite→aiosqlite, pydantic-settings + greenlet ekle, databases çıkar, sürümleri pinle</t>
        </is>
      </c>
      <c r="D4" s="3" t="n">
        <v>1</v>
      </c>
      <c r="E4" s="5" t="inlineStr">
        <is>
          <t>18.08.2026 Sal</t>
        </is>
      </c>
      <c r="F4" s="6" t="n">
        <v>0.75</v>
      </c>
      <c r="G4" s="5" t="inlineStr">
        <is>
          <t>—</t>
        </is>
      </c>
      <c r="H4" s="5" t="inlineStr">
        <is>
          <t>B-02</t>
        </is>
      </c>
      <c r="I4" s="7" t="inlineStr">
        <is>
          <t>✓</t>
        </is>
      </c>
      <c r="J4" s="4" t="inlineStr">
        <is>
          <t>requirements.txt düzgün ve pinli. Eksik: requirements-dev.txt henüz yok (test bağımlılıkları gelince ayır).</t>
        </is>
      </c>
    </row>
    <row r="5" ht="25.5" customHeight="1">
      <c r="A5" s="2" t="inlineStr">
        <is>
          <t>Faz 0 — Temizlik ve Zemin</t>
        </is>
      </c>
      <c r="B5" s="3" t="inlineStr">
        <is>
          <t>0.4</t>
        </is>
      </c>
      <c r="C5" s="4" t="inlineStr">
        <is>
          <t>Settings'i genişlet: ENV, CORS_ORIGINS, JWT_SECRET, JWT_ALGORITHM, ACCESS_TOKEN_EXPIRE_MINUTES</t>
        </is>
      </c>
      <c r="D5" s="3" t="n">
        <v>1</v>
      </c>
      <c r="E5" s="5" t="inlineStr">
        <is>
          <t>18.08.2026 Sal</t>
        </is>
      </c>
      <c r="F5" s="6" t="n">
        <v>0.75</v>
      </c>
      <c r="G5" s="5" t="inlineStr">
        <is>
          <t>0.3</t>
        </is>
      </c>
      <c r="H5" s="5" t="inlineStr">
        <is>
          <t>B-15</t>
        </is>
      </c>
      <c r="I5" s="7" t="inlineStr">
        <is>
          <t>✓</t>
        </is>
      </c>
      <c r="J5" s="4" t="n"/>
    </row>
    <row r="6" ht="15.75" customHeight="1">
      <c r="A6" s="2" t="inlineStr">
        <is>
          <t>Faz 0 — Temizlik ve Zemin</t>
        </is>
      </c>
      <c r="B6" s="3" t="inlineStr">
        <is>
          <t>0.5</t>
        </is>
      </c>
      <c r="C6" s="4" t="inlineStr">
        <is>
          <t>.env.example yaz (gerçek değer yok, sadece anahtar isimleri)</t>
        </is>
      </c>
      <c r="D6" s="3" t="n">
        <v>1</v>
      </c>
      <c r="E6" s="5" t="inlineStr">
        <is>
          <t>18.08.2026 Sal</t>
        </is>
      </c>
      <c r="F6" s="6" t="n">
        <v>0.33</v>
      </c>
      <c r="G6" s="5" t="inlineStr">
        <is>
          <t>0.4</t>
        </is>
      </c>
      <c r="H6" s="5" t="inlineStr">
        <is>
          <t>B-18</t>
        </is>
      </c>
      <c r="I6" s="7" t="inlineStr">
        <is>
          <t>✓</t>
        </is>
      </c>
      <c r="J6" s="4" t="n"/>
    </row>
    <row r="7" ht="15.75" customHeight="1">
      <c r="A7" s="2" t="inlineStr">
        <is>
          <t>Faz 0 — Temizlik ve Zemin</t>
        </is>
      </c>
      <c r="B7" s="3" t="inlineStr">
        <is>
          <t>0.6</t>
        </is>
      </c>
      <c r="C7" s="4" t="inlineStr">
        <is>
          <t>core/security.py'yi temizle: debug print ve ölü yorum bloğunu sil</t>
        </is>
      </c>
      <c r="D7" s="3" t="n">
        <v>1</v>
      </c>
      <c r="E7" s="5" t="inlineStr">
        <is>
          <t>18.08.2026 Sal</t>
        </is>
      </c>
      <c r="F7" s="6" t="n">
        <v>0.17</v>
      </c>
      <c r="G7" s="5" t="inlineStr">
        <is>
          <t>—</t>
        </is>
      </c>
      <c r="H7" s="5" t="inlineStr">
        <is>
          <t>B-01</t>
        </is>
      </c>
      <c r="I7" s="7" t="inlineStr">
        <is>
          <t>✓</t>
        </is>
      </c>
      <c r="J7" s="4" t="n"/>
    </row>
    <row r="8" ht="25.5" customHeight="1">
      <c r="A8" s="2" t="inlineStr">
        <is>
          <t>Faz 0 — Temizlik ve Zemin</t>
        </is>
      </c>
      <c r="B8" s="3" t="inlineStr">
        <is>
          <t>0.7</t>
        </is>
      </c>
      <c r="C8" s="4" t="inlineStr">
        <is>
          <t>README.md'yi UTF-8 olarak yeniden yaz; models/readme.md ve schemas/readme.md'yi güncelle</t>
        </is>
      </c>
      <c r="D8" s="3" t="n">
        <v>1</v>
      </c>
      <c r="E8" s="5" t="inlineStr">
        <is>
          <t>18.08.2026 Sal</t>
        </is>
      </c>
      <c r="F8" s="6" t="n">
        <v>0.75</v>
      </c>
      <c r="G8" s="5" t="inlineStr">
        <is>
          <t>—</t>
        </is>
      </c>
      <c r="H8" s="5" t="inlineStr">
        <is>
          <t>B-17, B-20</t>
        </is>
      </c>
      <c r="I8" s="7" t="inlineStr">
        <is>
          <t>✓</t>
        </is>
      </c>
      <c r="J8" s="4" t="n"/>
    </row>
    <row r="9" ht="15.75" customHeight="1">
      <c r="A9" s="2" t="inlineStr">
        <is>
          <t>Faz 0 — Temizlik ve Zemin</t>
        </is>
      </c>
      <c r="B9" s="3" t="inlineStr">
        <is>
          <t>0.8</t>
        </is>
      </c>
      <c r="C9" s="4" t="inlineStr">
        <is>
          <t>bug_report.json'ı docs/ altına arşivle veya sil</t>
        </is>
      </c>
      <c r="D9" s="3" t="n">
        <v>1</v>
      </c>
      <c r="E9" s="5" t="inlineStr">
        <is>
          <t>18.08.2026 Sal</t>
        </is>
      </c>
      <c r="F9" s="6" t="n">
        <v>0.17</v>
      </c>
      <c r="G9" s="5" t="inlineStr">
        <is>
          <t>—</t>
        </is>
      </c>
      <c r="H9" s="5" t="inlineStr">
        <is>
          <t>—</t>
        </is>
      </c>
      <c r="I9" s="7" t="inlineStr">
        <is>
          <t>✓</t>
        </is>
      </c>
      <c r="J9" s="4" t="n"/>
    </row>
    <row r="10" ht="15.75" customHeight="1">
      <c r="A10" s="2" t="inlineStr">
        <is>
          <t>Faz 0 — Temizlik ve Zemin</t>
        </is>
      </c>
      <c r="B10" s="3" t="inlineStr">
        <is>
          <t>0.K</t>
        </is>
      </c>
      <c r="C10" s="4" t="inlineStr">
        <is>
          <t>KONTROL: temiz klonda pip install + uvicorn app.main:app çalışıyor</t>
        </is>
      </c>
      <c r="D10" s="3" t="n">
        <v>1</v>
      </c>
      <c r="E10" s="5" t="inlineStr">
        <is>
          <t>18.08.2026 Sal</t>
        </is>
      </c>
      <c r="F10" s="6" t="n">
        <v>0.25</v>
      </c>
      <c r="G10" s="5" t="inlineStr">
        <is>
          <t>0.3</t>
        </is>
      </c>
      <c r="H10" s="5" t="inlineStr">
        <is>
          <t>—</t>
        </is>
      </c>
      <c r="I10" s="7" t="inlineStr">
        <is>
          <t>✓</t>
        </is>
      </c>
      <c r="J10" s="4" t="n"/>
    </row>
    <row r="11" ht="25.5" customHeight="1">
      <c r="A11" s="2" t="inlineStr">
        <is>
          <t>Faz 1 — Router, Şema, Repository</t>
        </is>
      </c>
      <c r="B11" s="3" t="inlineStr">
        <is>
          <t>1.1</t>
        </is>
      </c>
      <c r="C11" s="4" t="inlineStr">
        <is>
          <t>api/v1/router.py + api/router.py doldur; main.py tek include_router yapsın; wildcard import'u kaldır</t>
        </is>
      </c>
      <c r="D11" s="3" t="n">
        <v>2</v>
      </c>
      <c r="E11" s="5" t="inlineStr">
        <is>
          <t>19.08.2026 Çar</t>
        </is>
      </c>
      <c r="F11" s="6" t="n">
        <v>0.75</v>
      </c>
      <c r="G11" s="5" t="inlineStr">
        <is>
          <t>Faz 0</t>
        </is>
      </c>
      <c r="H11" s="5" t="inlineStr">
        <is>
          <t>B-13, B-19</t>
        </is>
      </c>
      <c r="I11" s="7" t="inlineStr">
        <is>
          <t>✓</t>
        </is>
      </c>
      <c r="J11" s="4" t="n"/>
    </row>
    <row r="12" ht="25.5" customHeight="1">
      <c r="A12" s="2" t="inlineStr">
        <is>
          <t>Faz 1 — Router, Şema, Repository</t>
        </is>
      </c>
      <c r="B12" s="3" t="inlineStr">
        <is>
          <t>1.2</t>
        </is>
      </c>
      <c r="C12" s="4" t="inlineStr">
        <is>
          <t>Şemaları ayır: ProjectCreate (id yok), ProjectUpdate (hepsi Optional), ProjectRead (id+tarihler)</t>
        </is>
      </c>
      <c r="D12" s="3" t="n">
        <v>2</v>
      </c>
      <c r="E12" s="5" t="inlineStr">
        <is>
          <t>19.08.2026 Çar</t>
        </is>
      </c>
      <c r="F12" s="6" t="n">
        <v>1.5</v>
      </c>
      <c r="G12" s="5" t="inlineStr">
        <is>
          <t>1.1</t>
        </is>
      </c>
      <c r="H12" s="5" t="inlineStr">
        <is>
          <t>B-04, B-12</t>
        </is>
      </c>
      <c r="I12" s="7" t="inlineStr">
        <is>
          <t>✓</t>
        </is>
      </c>
      <c r="J12" s="4" t="n"/>
    </row>
    <row r="13" ht="15.75" customHeight="1">
      <c r="A13" s="2" t="inlineStr">
        <is>
          <t>Faz 1 — Router, Şema, Repository</t>
        </is>
      </c>
      <c r="B13" s="3" t="inlineStr">
        <is>
          <t>1.3</t>
        </is>
      </c>
      <c r="C13" s="4" t="inlineStr">
        <is>
          <t>response_model'leri ProjectRead yap; SQLModel table model'i API yüzeyinden çek</t>
        </is>
      </c>
      <c r="D13" s="3" t="n">
        <v>2</v>
      </c>
      <c r="E13" s="5" t="inlineStr">
        <is>
          <t>19.08.2026 Çar</t>
        </is>
      </c>
      <c r="F13" s="6" t="n">
        <v>0.5</v>
      </c>
      <c r="G13" s="5" t="inlineStr">
        <is>
          <t>1.2</t>
        </is>
      </c>
      <c r="H13" s="5" t="inlineStr">
        <is>
          <t>B-05</t>
        </is>
      </c>
      <c r="I13" s="7" t="inlineStr">
        <is>
          <t>✓</t>
        </is>
      </c>
      <c r="J13" s="4" t="inlineStr">
        <is>
          <t>⚠ Kısmen: GET route'ları ProjectRead dönüyor; POST, PATCH ve PUT /slug route'larında response_model yok → tablo modeli (snake_case) dönüyor.</t>
        </is>
      </c>
    </row>
    <row r="14" ht="15.75" customHeight="1">
      <c r="A14" s="2" t="inlineStr">
        <is>
          <t>Faz 1 — Router, Şema, Repository</t>
        </is>
      </c>
      <c r="B14" s="3" t="inlineStr">
        <is>
          <t>1.4</t>
        </is>
      </c>
      <c r="C14" s="4" t="inlineStr">
        <is>
          <t>Alan adlarını snake_case'e çevir + alias_generator=to_camel ile JSON'da camelCase koru</t>
        </is>
      </c>
      <c r="D14" s="3" t="n">
        <v>2</v>
      </c>
      <c r="E14" s="5" t="inlineStr">
        <is>
          <t>19.08.2026 Çar</t>
        </is>
      </c>
      <c r="F14" s="6" t="n">
        <v>1.5</v>
      </c>
      <c r="G14" s="5" t="inlineStr">
        <is>
          <t>1.2</t>
        </is>
      </c>
      <c r="H14" s="5" t="inlineStr">
        <is>
          <t>B-16</t>
        </is>
      </c>
      <c r="I14" s="7" t="inlineStr">
        <is>
          <t>✓</t>
        </is>
      </c>
      <c r="J14" s="4" t="n"/>
    </row>
    <row r="15" ht="25.5" customHeight="1">
      <c r="A15" s="2" t="inlineStr">
        <is>
          <t>Faz 1 — Router, Şema, Repository</t>
        </is>
      </c>
      <c r="B15" s="3" t="inlineStr">
        <is>
          <t>1.5</t>
        </is>
      </c>
      <c r="C15" s="4" t="inlineStr">
        <is>
          <t>BaseModel'den name'i çıkar; id + created_at + updated_at bırak; Project'e kendi name'ini ekle</t>
        </is>
      </c>
      <c r="D15" s="3" t="n">
        <v>3</v>
      </c>
      <c r="E15" s="5" t="inlineStr">
        <is>
          <t>20.08.2026 Per</t>
        </is>
      </c>
      <c r="F15" s="6" t="n">
        <v>0.75</v>
      </c>
      <c r="G15" s="5" t="inlineStr">
        <is>
          <t>1.2</t>
        </is>
      </c>
      <c r="H15" s="5" t="inlineStr">
        <is>
          <t>B-10, B-11</t>
        </is>
      </c>
      <c r="I15" s="7" t="inlineStr">
        <is>
          <t>✓</t>
        </is>
      </c>
      <c r="J15" s="4" t="n"/>
    </row>
    <row r="16" ht="15.75" customHeight="1">
      <c r="A16" s="2" t="inlineStr">
        <is>
          <t>Faz 1 — Router, Şema, Repository</t>
        </is>
      </c>
      <c r="B16" s="3" t="inlineStr">
        <is>
          <t>1.6</t>
        </is>
      </c>
      <c r="C16" s="4" t="inlineStr">
        <is>
          <t>get_by_slug'ı ProjectRepository'ye taşı; update'i exclude_unset=True ile partial update yap</t>
        </is>
      </c>
      <c r="D16" s="3" t="n">
        <v>3</v>
      </c>
      <c r="E16" s="5" t="inlineStr">
        <is>
          <t>20.08.2026 Per</t>
        </is>
      </c>
      <c r="F16" s="6" t="n">
        <v>1</v>
      </c>
      <c r="G16" s="5" t="inlineStr">
        <is>
          <t>1.5</t>
        </is>
      </c>
      <c r="H16" s="5" t="inlineStr">
        <is>
          <t>B-07, B-09</t>
        </is>
      </c>
      <c r="I16" s="7" t="inlineStr">
        <is>
          <t>✓</t>
        </is>
      </c>
      <c r="J16" s="4" t="inlineStr">
        <is>
          <t>⚠ Kısmen: PATCH exclude_unset ile çalışıyor. get_by_slug ise hâlâ BaseRepository içinde (ProjectRepository'de override edilmiş).</t>
        </is>
      </c>
    </row>
    <row r="17" ht="15.75" customHeight="1">
      <c r="A17" s="2" t="inlineStr">
        <is>
          <t>Faz 1 — Router, Şema, Repository</t>
        </is>
      </c>
      <c r="B17" s="3" t="inlineStr">
        <is>
          <t>1.7</t>
        </is>
      </c>
      <c r="C17" s="4" t="inlineStr">
        <is>
          <t>PUT/PATCH/DELETE endpoint'leri + Page[T] sayfalama şeması (items, total, page, size)</t>
        </is>
      </c>
      <c r="D17" s="3" t="n">
        <v>3</v>
      </c>
      <c r="E17" s="5" t="inlineStr">
        <is>
          <t>20.08.2026 Per</t>
        </is>
      </c>
      <c r="F17" s="6" t="n">
        <v>1.5</v>
      </c>
      <c r="G17" s="5" t="inlineStr">
        <is>
          <t>1.6</t>
        </is>
      </c>
      <c r="H17" s="5" t="inlineStr">
        <is>
          <t>B-07, B-21</t>
        </is>
      </c>
      <c r="I17" s="7" t="inlineStr">
        <is>
          <t>✓</t>
        </is>
      </c>
      <c r="J17" s="4" t="inlineStr">
        <is>
          <t>Kısmen: PUT/PATCH/DELETE route'ları var. Page[T] sayfalama şeması yok (get_all düz liste dönüyor).</t>
        </is>
      </c>
    </row>
    <row r="18" ht="15.75" customHeight="1">
      <c r="A18" s="2" t="inlineStr">
        <is>
          <t>Faz 1 — Router, Şema, Repository</t>
        </is>
      </c>
      <c r="B18" s="3" t="inlineStr">
        <is>
          <t>1.8</t>
        </is>
      </c>
      <c r="C18" s="4" t="inlineStr">
        <is>
          <t>db_dependency'ye try/except/rollback ekle</t>
        </is>
      </c>
      <c r="D18" s="3" t="n">
        <v>3</v>
      </c>
      <c r="E18" s="5" t="inlineStr">
        <is>
          <t>20.08.2026 Per</t>
        </is>
      </c>
      <c r="F18" s="6" t="n">
        <v>0.33</v>
      </c>
      <c r="G18" s="5" t="inlineStr">
        <is>
          <t>—</t>
        </is>
      </c>
      <c r="H18" s="5" t="inlineStr">
        <is>
          <t>B-08</t>
        </is>
      </c>
      <c r="I18" s="7" t="inlineStr">
        <is>
          <t>✓</t>
        </is>
      </c>
      <c r="J18" s="4" t="inlineStr">
        <is>
          <t>Yapılmadı: db_dependency'de try/except/rollback yok.</t>
        </is>
      </c>
    </row>
    <row r="19" ht="15.75" customHeight="1">
      <c r="A19" s="2" t="inlineStr">
        <is>
          <t>Faz 1 — Router, Şema, Repository</t>
        </is>
      </c>
      <c r="B19" s="3" t="inlineStr">
        <is>
          <t>1.K</t>
        </is>
      </c>
      <c r="C19" s="4" t="inlineStr">
        <is>
          <t>KONTROL: /docs'ta 5 project endpoint'i; POST id istemiyor; PATCH tek alan güncelliyor</t>
        </is>
      </c>
      <c r="D19" s="3" t="n">
        <v>3</v>
      </c>
      <c r="E19" s="5" t="inlineStr">
        <is>
          <t>20.08.2026 Per</t>
        </is>
      </c>
      <c r="F19" s="6" t="n">
        <v>0.25</v>
      </c>
      <c r="G19" s="5" t="inlineStr">
        <is>
          <t>1.7</t>
        </is>
      </c>
      <c r="H19" s="5" t="inlineStr">
        <is>
          <t>—</t>
        </is>
      </c>
      <c r="I19" s="7" t="inlineStr">
        <is>
          <t>✓</t>
        </is>
      </c>
      <c r="J19" s="4" t="inlineStr">
        <is>
          <t>Doğrulandı: POST id istemiyor, PATCH tek alan güncelliyor, projects için PUT/PATCH/DELETE route'ları /docs'ta var.</t>
        </is>
      </c>
    </row>
    <row r="20" ht="25.5" customHeight="1">
      <c r="A20" s="2" t="inlineStr">
        <is>
          <t>Faz 2 — Test Altyapısı</t>
        </is>
      </c>
      <c r="B20" s="3" t="inlineStr">
        <is>
          <t>2.1</t>
        </is>
      </c>
      <c r="C20" s="4" t="inlineStr">
        <is>
          <t>pytest + pytest-asyncio + httpx; conftest.py: in-memory async engine, AsyncClient fixture, dependency override</t>
        </is>
      </c>
      <c r="D20" s="3" t="n">
        <v>3</v>
      </c>
      <c r="E20" s="5" t="inlineStr">
        <is>
          <t>20.08.2026 Per</t>
        </is>
      </c>
      <c r="F20" s="6" t="n">
        <v>2</v>
      </c>
      <c r="G20" s="5" t="inlineStr">
        <is>
          <t>Faz 1</t>
        </is>
      </c>
      <c r="H20" s="5" t="inlineStr">
        <is>
          <t>B-14</t>
        </is>
      </c>
      <c r="I20" s="7" t="inlineStr">
        <is>
          <t>✓</t>
        </is>
      </c>
      <c r="J20" s="4" t="inlineStr">
        <is>
          <t>Tamamlandı: pytest.ini (asyncio_mode=auto), tests/conftest.py (StaticPool in-memory SQLite, AsyncClient+ASGITransport, db_dependency override). requirements-dev ayrıldı.</t>
        </is>
      </c>
    </row>
    <row r="21" ht="15.75" customHeight="1">
      <c r="A21" s="2" t="inlineStr">
        <is>
          <t>Faz 2 — Test Altyapısı</t>
        </is>
      </c>
      <c r="B21" s="3" t="inlineStr">
        <is>
          <t>2.2</t>
        </is>
      </c>
      <c r="C21" s="4" t="inlineStr">
        <is>
          <t>test_projects.py: create/list/get/update/delete + 404 + 422 + sayfalama testleri</t>
        </is>
      </c>
      <c r="D21" s="3" t="n">
        <v>3</v>
      </c>
      <c r="E21" s="5" t="inlineStr">
        <is>
          <t>20.08.2026 Per</t>
        </is>
      </c>
      <c r="F21" s="6" t="n">
        <v>2</v>
      </c>
      <c r="G21" s="5" t="inlineStr">
        <is>
          <t>2.1</t>
        </is>
      </c>
      <c r="H21" s="5" t="inlineStr">
        <is>
          <t>B-14</t>
        </is>
      </c>
      <c r="I21" s="7" t="inlineStr">
        <is>
          <t>✓</t>
        </is>
      </c>
      <c r="J21" s="4" t="inlineStr">
        <is>
          <t>Tamamlandı: tests/test_projects.py — create/list/get/PUT/PATCH/DELETE, 404, 422, sayfalama ve slug testleri.</t>
        </is>
      </c>
    </row>
    <row r="22" ht="15.75" customHeight="1">
      <c r="A22" s="2" t="inlineStr">
        <is>
          <t>Faz 2 — Test Altyapısı</t>
        </is>
      </c>
      <c r="B22" s="3" t="inlineStr">
        <is>
          <t>2.K</t>
        </is>
      </c>
      <c r="C22" s="4" t="inlineStr">
        <is>
          <t>KONTROL: pytest yeşil, en az 10 test geçiyor</t>
        </is>
      </c>
      <c r="D22" s="3" t="n">
        <v>3</v>
      </c>
      <c r="E22" s="5" t="inlineStr">
        <is>
          <t>20.08.2026 Per</t>
        </is>
      </c>
      <c r="F22" s="6" t="n">
        <v>0.25</v>
      </c>
      <c r="G22" s="5" t="inlineStr">
        <is>
          <t>2.2</t>
        </is>
      </c>
      <c r="H22" s="5" t="inlineStr">
        <is>
          <t>—</t>
        </is>
      </c>
      <c r="I22" s="7" t="inlineStr">
        <is>
          <t>✓</t>
        </is>
      </c>
      <c r="J22" s="4" t="inlineStr">
        <is>
          <t>Doğrulandı: 21 test yeşil (hedef ≥10), pytest-cov ile kapsam %88. Kalan satırlar çoğunlukla HTTPException dalları ve henüz kullanılmayan kod.</t>
        </is>
      </c>
    </row>
    <row r="23" ht="25.5" customHeight="1">
      <c r="A23" s="2" t="inlineStr">
        <is>
          <t>Faz 3 — Alembic + PostgreSQL</t>
        </is>
      </c>
      <c r="B23" s="3" t="inlineStr">
        <is>
          <t>3.1</t>
        </is>
      </c>
      <c r="C23" s="4" t="inlineStr">
        <is>
          <t>alembic init -t async alembic; env.py'yi SQLModel metadata + settings.DATABASE_URL ile bağla</t>
        </is>
      </c>
      <c r="D23" s="3" t="n">
        <v>4</v>
      </c>
      <c r="E23" s="5" t="inlineStr">
        <is>
          <t>21.08.2026 Cum</t>
        </is>
      </c>
      <c r="F23" s="6" t="n">
        <v>1.5</v>
      </c>
      <c r="G23" s="5" t="inlineStr">
        <is>
          <t>Faz 1</t>
        </is>
      </c>
      <c r="H23" s="5" t="inlineStr">
        <is>
          <t>B-06</t>
        </is>
      </c>
      <c r="I23" s="7" t="inlineStr">
        <is>
          <t>✓</t>
        </is>
      </c>
      <c r="J23" s="4" t="inlineStr">
        <is>
          <t>Tamamlandı: alembic init -t async; env.py SQLModel.metadata + settings.DATABASE_URL'e bağlı, compare_type=True; script.py.mako'ya import sqlmodel eklendi.</t>
        </is>
      </c>
    </row>
    <row r="24" ht="15.75" customHeight="1">
      <c r="A24" s="2" t="inlineStr">
        <is>
          <t>Faz 3 — Alembic + PostgreSQL</t>
        </is>
      </c>
      <c r="B24" s="3" t="inlineStr">
        <is>
          <t>3.2</t>
        </is>
      </c>
      <c r="C24" s="4" t="inlineStr">
        <is>
          <t>İlk migration'ı üret; init_db()/create_all çağrısını lifespan'den kaldır</t>
        </is>
      </c>
      <c r="D24" s="3" t="n">
        <v>4</v>
      </c>
      <c r="E24" s="5" t="inlineStr">
        <is>
          <t>21.08.2026 Cum</t>
        </is>
      </c>
      <c r="F24" s="6" t="n">
        <v>1</v>
      </c>
      <c r="G24" s="5" t="inlineStr">
        <is>
          <t>3.1</t>
        </is>
      </c>
      <c r="H24" s="5" t="inlineStr">
        <is>
          <t>B-06</t>
        </is>
      </c>
      <c r="I24" s="7" t="inlineStr">
        <is>
          <t>✓</t>
        </is>
      </c>
      <c r="J24" s="4" t="inlineStr">
        <is>
          <t>Tamamlandı: ilk migration (projects tablosu + ix_projects_name/slug) boş DB'ye karşı üretildi; init_db()/create_all lifespan'den kaldırıldı. Not: dolu DB'ye karşı autogenerate boş migration üretir.</t>
        </is>
      </c>
    </row>
    <row r="25" ht="25.5" customHeight="1">
      <c r="A25" s="2" t="inlineStr">
        <is>
          <t>Faz 3 — Alembic + PostgreSQL</t>
        </is>
      </c>
      <c r="B25" s="3" t="inlineStr">
        <is>
          <t>3.3</t>
        </is>
      </c>
      <c r="C25" s="4" t="inlineStr">
        <is>
          <t>docker-compose.yml'e postgres:17-alpine ekle; asyncpg bağımlılığı; DATABASE_URL env'den</t>
        </is>
      </c>
      <c r="D25" s="3" t="n">
        <v>4</v>
      </c>
      <c r="E25" s="5" t="inlineStr">
        <is>
          <t>21.08.2026 Cum</t>
        </is>
      </c>
      <c r="F25" s="6" t="n">
        <v>1.5</v>
      </c>
      <c r="G25" s="5" t="inlineStr">
        <is>
          <t>3.2</t>
        </is>
      </c>
      <c r="H25" s="5" t="inlineStr">
        <is>
          <t>—</t>
        </is>
      </c>
      <c r="I25" s="7" t="inlineStr">
        <is>
          <t>✓</t>
        </is>
      </c>
      <c r="J25" s="4" t="inlineStr">
        <is>
          <t>Tamamlandı: docker-compose.yml (postgres:17-alpine, volume, healthcheck, host port 5433), asyncpg eklendi, DATABASE_URL .env'den. Parola yalnızca yerel geliştirme için; Faz 7'de .env'e taşınmalı.</t>
        </is>
      </c>
    </row>
    <row r="26" ht="15.75" customHeight="1">
      <c r="A26" s="2" t="inlineStr">
        <is>
          <t>Faz 3 — Alembic + PostgreSQL</t>
        </is>
      </c>
      <c r="B26" s="3" t="inlineStr">
        <is>
          <t>3.4</t>
        </is>
      </c>
      <c r="C26" s="4" t="inlineStr">
        <is>
          <t>Migration + testleri Postgres'e karşı çalıştır; JSON→JSONB davranışını doğrula</t>
        </is>
      </c>
      <c r="D26" s="3" t="n">
        <v>4</v>
      </c>
      <c r="E26" s="5" t="inlineStr">
        <is>
          <t>21.08.2026 Cum</t>
        </is>
      </c>
      <c r="F26" s="6" t="n">
        <v>1</v>
      </c>
      <c r="G26" s="5" t="inlineStr">
        <is>
          <t>3.3</t>
        </is>
      </c>
      <c r="H26" s="5" t="inlineStr">
        <is>
          <t>—</t>
        </is>
      </c>
      <c r="I26" s="7" t="inlineStr">
        <is>
          <t>✓</t>
        </is>
      </c>
      <c r="J26" s="4" t="inlineStr">
        <is>
          <t>Tamamlandı: testler TEST_DATABASE_URL ile iki DB'de de koşuyor. Bulunan hata: timezone-aware datetime → TIMESTAMP WITHOUT TIME ZONE (asyncpg reddetti); created_at/updated_at DateTime(timezone=True) yapıldı + migration. tags/tech_stack şimdilik JSON, JSONB gerekirse sonra.</t>
        </is>
      </c>
    </row>
    <row r="27" ht="25.5" customHeight="1">
      <c r="A27" s="2" t="inlineStr">
        <is>
          <t>Faz 3 — Alembic + PostgreSQL</t>
        </is>
      </c>
      <c r="B27" s="3" t="inlineStr">
        <is>
          <t>3.K</t>
        </is>
      </c>
      <c r="C27" s="4" t="inlineStr">
        <is>
          <t>KONTROL: boş Postgres'te alembic upgrade head şemayı kuruyor; pytest iki DB'de de yeşil</t>
        </is>
      </c>
      <c r="D27" s="3" t="n">
        <v>4</v>
      </c>
      <c r="E27" s="5" t="inlineStr">
        <is>
          <t>21.08.2026 Cum</t>
        </is>
      </c>
      <c r="F27" s="6" t="n">
        <v>0.25</v>
      </c>
      <c r="G27" s="5" t="inlineStr">
        <is>
          <t>3.4</t>
        </is>
      </c>
      <c r="H27" s="5" t="inlineStr">
        <is>
          <t>—</t>
        </is>
      </c>
      <c r="I27" s="7" t="inlineStr">
        <is>
          <t>✓</t>
        </is>
      </c>
      <c r="J27" s="4" t="inlineStr">
        <is>
          <t>Doğrulandı: boş Postgres'te alembic upgrade head şemayı kuruyor; 21 test SQLite ve Postgres'te yeşil.</t>
        </is>
      </c>
    </row>
    <row r="28" ht="25.5" customHeight="1">
      <c r="A28" s="2" t="inlineStr">
        <is>
          <t>Faz 4 — Blog Modülü</t>
        </is>
      </c>
      <c r="B28" s="3" t="inlineStr">
        <is>
          <t>4.1</t>
        </is>
      </c>
      <c r="C28" s="4" t="inlineStr">
        <is>
          <t>Blog modeli (tablo: blogs): title, slug (unique+index), summary, content (Text), cover_img_url, tags (JSON), is_published, featured, reading_time</t>
        </is>
      </c>
      <c r="D28" s="3" t="n">
        <v>5</v>
      </c>
      <c r="E28" s="5" t="inlineStr">
        <is>
          <t>22.08.2026 Cmt</t>
        </is>
      </c>
      <c r="F28" s="6" t="n">
        <v>2</v>
      </c>
      <c r="G28" s="5" t="inlineStr">
        <is>
          <t>Faz 3</t>
        </is>
      </c>
      <c r="H28" s="5" t="inlineStr">
        <is>
          <t>—</t>
        </is>
      </c>
      <c r="I28" s="7" t="inlineStr">
        <is>
          <t>✓</t>
        </is>
      </c>
      <c r="J28" s="4" t="inlineStr">
        <is>
          <t>Tamamlandı: models/blog.py (tablo blogs). Kararlar: status yerine is_published + featured; yayın tarihi için created_at kullanılıyor (published_at yok); reading_time saklanan kolon, sunucu hesaplar (utils/reading_time.py). BaseModel: created_at/updated_at sa_type=DateTime(timezone=True), onupdate=utcnow (sa_column ortak taban sınıfta tabloya iki kez bağlanıyordu).</t>
        </is>
      </c>
    </row>
    <row r="29" ht="15.75" customHeight="1">
      <c r="A29" s="2" t="inlineStr">
        <is>
          <t>Faz 4 — Blog Modülü</t>
        </is>
      </c>
      <c r="B29" s="3" t="inlineStr">
        <is>
          <t>4.2</t>
        </is>
      </c>
      <c r="C29" s="4" t="inlineStr">
        <is>
          <t>BlogCreate / BlogUpdate / BlogRead / BlogListItem şemaları; slug sunucuda üretilir (utils/slug.py), şemalarda yok</t>
        </is>
      </c>
      <c r="D29" s="3" t="n">
        <v>5</v>
      </c>
      <c r="E29" s="5" t="inlineStr">
        <is>
          <t>22.08.2026 Cmt</t>
        </is>
      </c>
      <c r="F29" s="6" t="n">
        <v>1.5</v>
      </c>
      <c r="G29" s="5" t="inlineStr">
        <is>
          <t>4.1</t>
        </is>
      </c>
      <c r="H29" s="5" t="inlineStr">
        <is>
          <t>—</t>
        </is>
      </c>
      <c r="I29" s="7" t="inlineStr">
        <is>
          <t>✓</t>
        </is>
      </c>
      <c r="J29" s="4" t="inlineStr">
        <is>
          <t>Tamamlandı: schemas/blog.py. reading_time yalnızca okuma şemalarında, slug şemalarda yok. BlogListItem içeriksiz liste şeması (Page[BlogListItem] için).</t>
        </is>
      </c>
    </row>
    <row r="30" ht="25.5" customHeight="1">
      <c r="A30" s="2" t="inlineStr">
        <is>
          <t>Faz 4 — Blog Modülü</t>
        </is>
      </c>
      <c r="B30" s="3" t="inlineStr">
        <is>
          <t>4.3</t>
        </is>
      </c>
      <c r="C30" s="4" t="inlineStr">
        <is>
          <t>BlogRepository: slug ile getir, yalnızca yayınlanmış (is_published) listele, tag filtresi, created_at DESC sırala</t>
        </is>
      </c>
      <c r="D30" s="3" t="n">
        <v>5</v>
      </c>
      <c r="E30" s="5" t="inlineStr">
        <is>
          <t>22.08.2026 Cmt</t>
        </is>
      </c>
      <c r="F30" s="6" t="n">
        <v>1.5</v>
      </c>
      <c r="G30" s="5" t="inlineStr">
        <is>
          <t>4.2</t>
        </is>
      </c>
      <c r="H30" s="5" t="inlineStr">
        <is>
          <t>—</t>
        </is>
      </c>
      <c r="I30" s="7" t="inlineStr">
        <is>
          <t>✓</t>
        </is>
      </c>
      <c r="J30" s="4" t="inlineStr">
        <is>
          <t>Tamamlandı: repositories/blog.py. _before_save kancası (base put/patch) ile reading_time içerik değişince yeniden hesaplanır; get_by_id/get_by_slug published_only parametresi (varsayılan False, admin taslakları görür); get_published_page: is_published filtresi, created_at DESC, tag filtresi (JSON metninde tırnaklı LIKE). BlogListItem içeriksiz.</t>
        </is>
      </c>
    </row>
    <row r="31" ht="15.75" customHeight="1">
      <c r="A31" s="2" t="inlineStr">
        <is>
          <t>Faz 4 — Blog Modülü</t>
        </is>
      </c>
      <c r="B31" s="3" t="inlineStr">
        <is>
          <t>4.4</t>
        </is>
      </c>
      <c r="C31" s="4" t="inlineStr">
        <is>
          <t>/api/v1/blogs endpoint'leri: public list (BlogListItem, yalnızca yayınlanmış), public get-by-slug, admin CRUD</t>
        </is>
      </c>
      <c r="D31" s="3" t="n">
        <v>6</v>
      </c>
      <c r="E31" s="5" t="inlineStr">
        <is>
          <t>23.08.2026 Paz</t>
        </is>
      </c>
      <c r="F31" s="6" t="n">
        <v>2</v>
      </c>
      <c r="G31" s="5" t="inlineStr">
        <is>
          <t>4.3</t>
        </is>
      </c>
      <c r="H31" s="5" t="inlineStr">
        <is>
          <t>—</t>
        </is>
      </c>
      <c r="I31" s="7" t="inlineStr">
        <is>
          <t>✓</t>
        </is>
      </c>
      <c r="J31" s="4" t="inlineStr">
        <is>
          <t>Tamamlandı: public (api/v1/blogs.py: liste Page[BlogListItem] + tag filtresi, GET /{id}, GET /slug/{slug}; yayınlanmamış → 404) ve admin (api/v1/admin/blog.py, /api/v1/admin/blogs: liste, get, POST, PUT, PATCH, DELETE; id + slug). Liste boşken 200 + boş Page. Admin rotaları Faz 5'e kadar korumasız (5.5).</t>
        </is>
      </c>
    </row>
    <row r="32" ht="15.75" customHeight="1">
      <c r="A32" s="2" t="inlineStr">
        <is>
          <t>Faz 4 — Blog Modülü</t>
        </is>
      </c>
      <c r="B32" s="3" t="inlineStr">
        <is>
          <t>4.5</t>
        </is>
      </c>
      <c r="C32" s="4" t="inlineStr">
        <is>
          <t>Alembic migration + test_blogs.py (yayınlanmamış yazının public listede görünmediğini de test et)</t>
        </is>
      </c>
      <c r="D32" s="3" t="n">
        <v>6</v>
      </c>
      <c r="E32" s="5" t="inlineStr">
        <is>
          <t>23.08.2026 Paz</t>
        </is>
      </c>
      <c r="F32" s="6" t="n">
        <v>1</v>
      </c>
      <c r="G32" s="5" t="inlineStr">
        <is>
          <t>4.4</t>
        </is>
      </c>
      <c r="H32" s="5" t="inlineStr">
        <is>
          <t>—</t>
        </is>
      </c>
      <c r="I32" s="7" t="inlineStr">
        <is>
          <t>✓</t>
        </is>
      </c>
      <c r="J32" s="4" t="inlineStr">
        <is>
          <t>Tamamlandı: migration uygulandı; tests/test_blogs.py 30 test geçti (admin CRUD, taslağın public'te görünmemesi, sıralama, sayfalama, tag tam eşleşme, reading_time). Toplam 55 test yeşil. Açık not: tag LIKE SQLite'ta büyük/küçük harfe duyarsız, Postgres'te duyarlı.</t>
        </is>
      </c>
    </row>
    <row r="33" ht="25.5" customHeight="1">
      <c r="A33" s="2" t="inlineStr">
        <is>
          <t>Faz 4 — Blog Modülü</t>
        </is>
      </c>
      <c r="B33" s="3" t="inlineStr">
        <is>
          <t>4.K</t>
        </is>
      </c>
      <c r="C33" s="4" t="inlineStr">
        <is>
          <t>KARAR: markdown backend'de HTML'e çevrilmeyecek — ham dönülüp frontend render edecek</t>
        </is>
      </c>
      <c r="D33" s="3" t="n">
        <v>6</v>
      </c>
      <c r="E33" s="5" t="inlineStr">
        <is>
          <t>23.08.2026 Paz</t>
        </is>
      </c>
      <c r="F33" s="6" t="n">
        <v>0.25</v>
      </c>
      <c r="G33" s="5" t="inlineStr">
        <is>
          <t>4.1</t>
        </is>
      </c>
      <c r="H33" s="5" t="inlineStr">
        <is>
          <t>—</t>
        </is>
      </c>
      <c r="I33" s="7" t="inlineStr">
        <is>
          <t>✓</t>
        </is>
      </c>
      <c r="J33" s="4" t="inlineStr">
        <is>
          <t>Karar verildi: markdown ham dönülüyor (content alanı), frontend render edecek. GET /blogs/{slug} testi içeriğin döndüğünü belgeliyor.</t>
        </is>
      </c>
    </row>
    <row r="34" ht="15.75" customHeight="1">
      <c r="A34" s="2" t="inlineStr">
        <is>
          <t>Faz 5 — Admin Auth (JWT)</t>
        </is>
      </c>
      <c r="B34" s="3" t="inlineStr">
        <is>
          <t>5.1</t>
        </is>
      </c>
      <c r="C34" s="4" t="inlineStr">
        <is>
          <t>User modeli: email (unique), hashed_password, is_active, is_admin + migration</t>
        </is>
      </c>
      <c r="D34" s="3" t="n">
        <v>7</v>
      </c>
      <c r="E34" s="5" t="inlineStr">
        <is>
          <t>24.08.2026 Pzt</t>
        </is>
      </c>
      <c r="F34" s="6" t="n">
        <v>1</v>
      </c>
      <c r="G34" s="5" t="inlineStr">
        <is>
          <t>Faz 3</t>
        </is>
      </c>
      <c r="H34" s="5" t="inlineStr">
        <is>
          <t>B-01</t>
        </is>
      </c>
      <c r="I34" s="7" t="inlineStr">
        <is>
          <t>✓</t>
        </is>
      </c>
      <c r="J34" s="4" t="inlineStr">
        <is>
          <t>Tamamlandı: models/user.py (tablo users): name (opsiyonel), email (unique+index), hashed_password. Karar: tek kullanıcı olduğu için is_active/is_admin alanları YOK; tablodaki kullanıcı admin sayılır. get_current_admin (5.4) yalnızca 401 dönecek; create_admin.py (5.6) kullanıcı varsa çıkmalı.</t>
        </is>
      </c>
    </row>
    <row r="35" ht="15.75" customHeight="1">
      <c r="A35" s="2" t="inlineStr">
        <is>
          <t>Faz 5 — Admin Auth (JWT)</t>
        </is>
      </c>
      <c r="B35" s="3" t="inlineStr">
        <is>
          <t>5.2</t>
        </is>
      </c>
      <c r="C35" s="4" t="inlineStr">
        <is>
          <t>core/security.py: pwdlib[argon2] ile hash/verify + PyJWT ile access token üret/çöz</t>
        </is>
      </c>
      <c r="D35" s="3" t="n">
        <v>7</v>
      </c>
      <c r="E35" s="5" t="inlineStr">
        <is>
          <t>24.08.2026 Pzt</t>
        </is>
      </c>
      <c r="F35" s="6" t="n">
        <v>2</v>
      </c>
      <c r="G35" s="5" t="inlineStr">
        <is>
          <t>5.1</t>
        </is>
      </c>
      <c r="H35" s="5" t="inlineStr">
        <is>
          <t>B-01</t>
        </is>
      </c>
      <c r="I35" s="7" t="inlineStr">
        <is>
          <t>✓</t>
        </is>
      </c>
      <c r="J35" s="4" t="inlineStr">
        <is>
          <t>Tamamlandı: core/security.py — hash_password/verify_password (pwdlib argon2), create_access_token/decode_access_token (PyJWT HS256; geçersiz/süresi dolmuş token → None). tests/test_security.py 12 test geçti. Not: yayından önce .env'deki JWT_SECRET güçlü (≥32 karakter) bir değerle değiştirilecek.</t>
        </is>
      </c>
    </row>
    <row r="36" ht="15.75" customHeight="1">
      <c r="A36" s="2" t="inlineStr">
        <is>
          <t>Faz 5 — Admin Auth (JWT)</t>
        </is>
      </c>
      <c r="B36" s="3" t="inlineStr">
        <is>
          <t>5.3</t>
        </is>
      </c>
      <c r="C36" s="4" t="inlineStr">
        <is>
          <t>POST /api/v1/auth/login (OAuth2PasswordRequestForm) → access token; GET /auth/me</t>
        </is>
      </c>
      <c r="D36" s="3" t="n">
        <v>7</v>
      </c>
      <c r="E36" s="5" t="inlineStr">
        <is>
          <t>24.08.2026 Pzt</t>
        </is>
      </c>
      <c r="F36" s="6" t="n">
        <v>1.5</v>
      </c>
      <c r="G36" s="5" t="inlineStr">
        <is>
          <t>5.2</t>
        </is>
      </c>
      <c r="H36" s="5" t="inlineStr">
        <is>
          <t>B-01</t>
        </is>
      </c>
      <c r="I36" s="7" t="n"/>
      <c r="J36" s="4" t="n"/>
    </row>
    <row r="37" ht="25.5" customHeight="1">
      <c r="A37" s="2" t="inlineStr">
        <is>
          <t>Faz 5 — Admin Auth (JWT)</t>
        </is>
      </c>
      <c r="B37" s="3" t="inlineStr">
        <is>
          <t>5.4</t>
        </is>
      </c>
      <c r="C37" s="4" t="inlineStr">
        <is>
          <t>dependencies.py → get_current_admin: OAuth2PasswordBearer + token doğrulama + 401/403</t>
        </is>
      </c>
      <c r="D37" s="3" t="n">
        <v>8</v>
      </c>
      <c r="E37" s="5" t="inlineStr">
        <is>
          <t>25.08.2026 Sal</t>
        </is>
      </c>
      <c r="F37" s="6" t="n">
        <v>1.5</v>
      </c>
      <c r="G37" s="5" t="inlineStr">
        <is>
          <t>5.3</t>
        </is>
      </c>
      <c r="H37" s="5" t="inlineStr">
        <is>
          <t>B-01</t>
        </is>
      </c>
      <c r="I37" s="7" t="n"/>
      <c r="J37" s="4" t="n"/>
    </row>
    <row r="38" ht="25.5" customHeight="1">
      <c r="A38" s="2" t="inlineStr">
        <is>
          <t>Faz 5 — Admin Auth (JWT)</t>
        </is>
      </c>
      <c r="B38" s="3" t="inlineStr">
        <is>
          <t>5.5</t>
        </is>
      </c>
      <c r="C38" s="4" t="inlineStr">
        <is>
          <t>Projects ve Blog'un tüm POST/PUT/PATCH/DELETE endpoint'lerini Depends(get_current_admin) ile koru</t>
        </is>
      </c>
      <c r="D38" s="3" t="n">
        <v>8</v>
      </c>
      <c r="E38" s="5" t="inlineStr">
        <is>
          <t>25.08.2026 Sal</t>
        </is>
      </c>
      <c r="F38" s="6" t="n">
        <v>1</v>
      </c>
      <c r="G38" s="5" t="inlineStr">
        <is>
          <t>5.4</t>
        </is>
      </c>
      <c r="H38" s="5" t="inlineStr">
        <is>
          <t>B-01</t>
        </is>
      </c>
      <c r="I38" s="7" t="n"/>
      <c r="J38" s="4" t="n"/>
    </row>
    <row r="39" ht="15.75" customHeight="1">
      <c r="A39" s="2" t="inlineStr">
        <is>
          <t>Faz 5 — Admin Auth (JWT)</t>
        </is>
      </c>
      <c r="B39" s="3" t="inlineStr">
        <is>
          <t>5.6</t>
        </is>
      </c>
      <c r="C39" s="4" t="inlineStr">
        <is>
          <t>scripts/create_admin.py — env'den admin oluşturur. Public register endpoint'i AÇMA</t>
        </is>
      </c>
      <c r="D39" s="3" t="n">
        <v>8</v>
      </c>
      <c r="E39" s="5" t="inlineStr">
        <is>
          <t>25.08.2026 Sal</t>
        </is>
      </c>
      <c r="F39" s="6" t="n">
        <v>0.5</v>
      </c>
      <c r="G39" s="5" t="inlineStr">
        <is>
          <t>5.2</t>
        </is>
      </c>
      <c r="H39" s="5" t="inlineStr">
        <is>
          <t>B-01</t>
        </is>
      </c>
      <c r="I39" s="7" t="n"/>
      <c r="J39" s="4" t="n"/>
    </row>
    <row r="40" ht="25.5" customHeight="1">
      <c r="A40" s="2" t="inlineStr">
        <is>
          <t>Faz 5 — Admin Auth (JWT)</t>
        </is>
      </c>
      <c r="B40" s="3" t="inlineStr">
        <is>
          <t>5.7</t>
        </is>
      </c>
      <c r="C40" s="4" t="inlineStr">
        <is>
          <t>test_auth.py: token'sız yazma→401, geçersiz/süresi dolmuş token→401, geçerli token→200</t>
        </is>
      </c>
      <c r="D40" s="3" t="n">
        <v>8</v>
      </c>
      <c r="E40" s="5" t="inlineStr">
        <is>
          <t>25.08.2026 Sal</t>
        </is>
      </c>
      <c r="F40" s="6" t="n">
        <v>1</v>
      </c>
      <c r="G40" s="5" t="inlineStr">
        <is>
          <t>5.5</t>
        </is>
      </c>
      <c r="H40" s="5" t="inlineStr">
        <is>
          <t>B-14</t>
        </is>
      </c>
      <c r="I40" s="7" t="n"/>
      <c r="J40" s="4" t="n"/>
    </row>
    <row r="41" ht="25.5" customHeight="1">
      <c r="A41" s="2" t="inlineStr">
        <is>
          <t>Faz 6 — Medya + İletişim</t>
        </is>
      </c>
      <c r="B41" s="3" t="inlineStr">
        <is>
          <t>6.1</t>
        </is>
      </c>
      <c r="C41" s="4" t="inlineStr">
        <is>
          <t>imagekitio'yu SÜRÜM PİNLEYEREK ekle (v5.x yeni API!); IMAGEKIT_* ayarlarını Settings'e ekle</t>
        </is>
      </c>
      <c r="D41" s="3" t="n">
        <v>9</v>
      </c>
      <c r="E41" s="5" t="inlineStr">
        <is>
          <t>26.08.2026 Çar</t>
        </is>
      </c>
      <c r="F41" s="6" t="n">
        <v>0.5</v>
      </c>
      <c r="G41" s="5" t="inlineStr">
        <is>
          <t>Faz 5</t>
        </is>
      </c>
      <c r="H41" s="5" t="inlineStr">
        <is>
          <t>—</t>
        </is>
      </c>
      <c r="I41" s="7" t="n"/>
      <c r="J41" s="4" t="inlineStr">
        <is>
          <t>Kısmen: imagekitio==5.9.0 pinli. IMAGEKIT_* ayarları Settings'te yok.</t>
        </is>
      </c>
    </row>
    <row r="42" ht="25.5" customHeight="1">
      <c r="A42" s="2" t="inlineStr">
        <is>
          <t>Faz 6 — Medya + İletişim</t>
        </is>
      </c>
      <c r="B42" s="3" t="inlineStr">
        <is>
          <t>6.2</t>
        </is>
      </c>
      <c r="C42" s="4" t="inlineStr">
        <is>
          <t>services/media_service.py: MIME + boyut doğrulama (maks 5MB; jpeg/png/webp), ImageKit upload, url+file_id kaydet</t>
        </is>
      </c>
      <c r="D42" s="3" t="n">
        <v>9</v>
      </c>
      <c r="E42" s="5" t="inlineStr">
        <is>
          <t>26.08.2026 Çar</t>
        </is>
      </c>
      <c r="F42" s="6" t="n">
        <v>2.5</v>
      </c>
      <c r="G42" s="5" t="inlineStr">
        <is>
          <t>6.1</t>
        </is>
      </c>
      <c r="H42" s="5" t="inlineStr">
        <is>
          <t>—</t>
        </is>
      </c>
      <c r="I42" s="7" t="n"/>
      <c r="J42" s="4" t="n"/>
    </row>
    <row r="43" ht="15.75" customHeight="1">
      <c r="A43" s="2" t="inlineStr">
        <is>
          <t>Faz 6 — Medya + İletişim</t>
        </is>
      </c>
      <c r="B43" s="3" t="inlineStr">
        <is>
          <t>6.3</t>
        </is>
      </c>
      <c r="C43" s="4" t="inlineStr">
        <is>
          <t>POST /api/v1/media/upload (admin-only) + DELETE /api/v1/media/{file_id}</t>
        </is>
      </c>
      <c r="D43" s="3" t="n">
        <v>9</v>
      </c>
      <c r="E43" s="5" t="inlineStr">
        <is>
          <t>26.08.2026 Çar</t>
        </is>
      </c>
      <c r="F43" s="6" t="n">
        <v>1.5</v>
      </c>
      <c r="G43" s="5" t="inlineStr">
        <is>
          <t>6.2</t>
        </is>
      </c>
      <c r="H43" s="5" t="inlineStr">
        <is>
          <t>—</t>
        </is>
      </c>
      <c r="I43" s="7" t="n"/>
      <c r="J43" s="4" t="n"/>
    </row>
    <row r="44" ht="15.75" customHeight="1">
      <c r="A44" s="2" t="inlineStr">
        <is>
          <t>Faz 6 — Medya + İletişim</t>
        </is>
      </c>
      <c r="B44" s="3" t="inlineStr">
        <is>
          <t>6.4</t>
        </is>
      </c>
      <c r="C44" s="4" t="inlineStr">
        <is>
          <t>ContactMessage modeli (name, email, subject, message, ip, is_read) + migration</t>
        </is>
      </c>
      <c r="D44" s="3" t="n">
        <v>10</v>
      </c>
      <c r="E44" s="5" t="inlineStr">
        <is>
          <t>27.08.2026 Per</t>
        </is>
      </c>
      <c r="F44" s="6" t="n">
        <v>0.75</v>
      </c>
      <c r="G44" s="5" t="inlineStr">
        <is>
          <t>Faz 3</t>
        </is>
      </c>
      <c r="H44" s="5" t="inlineStr">
        <is>
          <t>—</t>
        </is>
      </c>
      <c r="I44" s="7" t="n"/>
      <c r="J44" s="4" t="n"/>
    </row>
    <row r="45" ht="25.5" customHeight="1">
      <c r="A45" s="2" t="inlineStr">
        <is>
          <t>Faz 6 — Medya + İletişim</t>
        </is>
      </c>
      <c r="B45" s="3" t="inlineStr">
        <is>
          <t>6.5</t>
        </is>
      </c>
      <c r="C45" s="4" t="inlineStr">
        <is>
          <t>POST /api/v1/contact: EmailStr doğrulama, honeypot alanı, slowapi ile IP başına 3/saat rate limit</t>
        </is>
      </c>
      <c r="D45" s="3" t="n">
        <v>10</v>
      </c>
      <c r="E45" s="5" t="inlineStr">
        <is>
          <t>27.08.2026 Per</t>
        </is>
      </c>
      <c r="F45" s="6" t="n">
        <v>1.5</v>
      </c>
      <c r="G45" s="5" t="inlineStr">
        <is>
          <t>6.4</t>
        </is>
      </c>
      <c r="H45" s="5" t="inlineStr">
        <is>
          <t>—</t>
        </is>
      </c>
      <c r="I45" s="7" t="n"/>
      <c r="J45" s="4" t="n"/>
    </row>
    <row r="46" ht="25.5" customHeight="1">
      <c r="A46" s="2" t="inlineStr">
        <is>
          <t>Faz 6 — Medya + İletişim</t>
        </is>
      </c>
      <c r="B46" s="3" t="inlineStr">
        <is>
          <t>6.6</t>
        </is>
      </c>
      <c r="C46" s="4" t="inlineStr">
        <is>
          <t>E-posta bildirimi (fastapi-mail/Resend) — BackgroundTasks ile. SIKIŞIRSAN İLK BU KESİLİR</t>
        </is>
      </c>
      <c r="D46" s="3" t="n">
        <v>10</v>
      </c>
      <c r="E46" s="5" t="inlineStr">
        <is>
          <t>27.08.2026 Per</t>
        </is>
      </c>
      <c r="F46" s="6" t="n">
        <v>1.5</v>
      </c>
      <c r="G46" s="5" t="inlineStr">
        <is>
          <t>6.5</t>
        </is>
      </c>
      <c r="H46" s="5" t="inlineStr">
        <is>
          <t>—</t>
        </is>
      </c>
      <c r="I46" s="7" t="n"/>
      <c r="J46" s="4" t="n"/>
    </row>
    <row r="47" ht="15.75" customHeight="1">
      <c r="A47" s="2" t="inlineStr">
        <is>
          <t>Faz 6 — Medya + İletişim</t>
        </is>
      </c>
      <c r="B47" s="3" t="inlineStr">
        <is>
          <t>6.7</t>
        </is>
      </c>
      <c r="C47" s="4" t="inlineStr">
        <is>
          <t>GET /api/v1/contact — admin-only mesaj listesi</t>
        </is>
      </c>
      <c r="D47" s="3" t="n">
        <v>10</v>
      </c>
      <c r="E47" s="5" t="inlineStr">
        <is>
          <t>27.08.2026 Per</t>
        </is>
      </c>
      <c r="F47" s="6" t="n">
        <v>0.5</v>
      </c>
      <c r="G47" s="5" t="inlineStr">
        <is>
          <t>6.5</t>
        </is>
      </c>
      <c r="H47" s="5" t="inlineStr">
        <is>
          <t>—</t>
        </is>
      </c>
      <c r="I47" s="7" t="n"/>
      <c r="J47" s="4" t="n"/>
    </row>
    <row r="48" ht="15.75" customHeight="1">
      <c r="A48" s="2" t="inlineStr">
        <is>
          <t>Faz 7 — Docker + Droplet</t>
        </is>
      </c>
      <c r="B48" s="3" t="inlineStr">
        <is>
          <t>7.1</t>
        </is>
      </c>
      <c r="C48" s="4" t="inlineStr">
        <is>
          <t>Multi-stage Dockerfile: builder + python:3.12-slim runtime, non-root user, katman önbelleği</t>
        </is>
      </c>
      <c r="D48" s="3" t="n">
        <v>11</v>
      </c>
      <c r="E48" s="5" t="inlineStr">
        <is>
          <t>28.08.2026 Cum</t>
        </is>
      </c>
      <c r="F48" s="6" t="n">
        <v>2</v>
      </c>
      <c r="G48" s="5" t="inlineStr">
        <is>
          <t>Faz 6</t>
        </is>
      </c>
      <c r="H48" s="5" t="inlineStr">
        <is>
          <t>B-22</t>
        </is>
      </c>
      <c r="I48" s="7" t="n"/>
      <c r="J48" s="4" t="inlineStr">
        <is>
          <t>Yapılmadı: Dockerfile yok.</t>
        </is>
      </c>
    </row>
    <row r="49" ht="15.75" customHeight="1">
      <c r="A49" s="2" t="inlineStr">
        <is>
          <t>Faz 7 — Docker + Droplet</t>
        </is>
      </c>
      <c r="B49" s="3" t="inlineStr">
        <is>
          <t>7.2</t>
        </is>
      </c>
      <c r="C49" s="4" t="inlineStr">
        <is>
          <t>docker-compose.yml: api + db (postgres, named volume) + caddy reverse proxy</t>
        </is>
      </c>
      <c r="D49" s="3" t="n">
        <v>11</v>
      </c>
      <c r="E49" s="5" t="inlineStr">
        <is>
          <t>28.08.2026 Cum</t>
        </is>
      </c>
      <c r="F49" s="6" t="n">
        <v>2</v>
      </c>
      <c r="G49" s="5" t="inlineStr">
        <is>
          <t>7.1</t>
        </is>
      </c>
      <c r="H49" s="5" t="inlineStr">
        <is>
          <t>—</t>
        </is>
      </c>
      <c r="I49" s="7" t="n"/>
      <c r="J49" s="4" t="n"/>
    </row>
    <row r="50" ht="15.75" customHeight="1">
      <c r="A50" s="2" t="inlineStr">
        <is>
          <t>Faz 7 — Docker + Droplet</t>
        </is>
      </c>
      <c r="B50" s="3" t="inlineStr">
        <is>
          <t>7.3</t>
        </is>
      </c>
      <c r="C50" s="4" t="inlineStr">
        <is>
          <t>Entrypoint script: konteyner başlarken alembic upgrade head çalıştır</t>
        </is>
      </c>
      <c r="D50" s="3" t="n">
        <v>11</v>
      </c>
      <c r="E50" s="5" t="inlineStr">
        <is>
          <t>28.08.2026 Cum</t>
        </is>
      </c>
      <c r="F50" s="6" t="n">
        <v>1</v>
      </c>
      <c r="G50" s="5" t="inlineStr">
        <is>
          <t>7.2</t>
        </is>
      </c>
      <c r="H50" s="5" t="inlineStr">
        <is>
          <t>—</t>
        </is>
      </c>
      <c r="I50" s="7" t="n"/>
      <c r="J50" s="4" t="n"/>
    </row>
    <row r="51" ht="15.75" customHeight="1">
      <c r="A51" s="2" t="inlineStr">
        <is>
          <t>Faz 7 — Docker + Droplet</t>
        </is>
      </c>
      <c r="B51" s="3" t="inlineStr">
        <is>
          <t>7.4</t>
        </is>
      </c>
      <c r="C51" s="4" t="inlineStr">
        <is>
          <t>GET /health (DB ping dahil) + JSON structured logging + request-id middleware</t>
        </is>
      </c>
      <c r="D51" s="3" t="n">
        <v>12</v>
      </c>
      <c r="E51" s="5" t="inlineStr">
        <is>
          <t>29.08.2026 Cmt</t>
        </is>
      </c>
      <c r="F51" s="6" t="n">
        <v>1.5</v>
      </c>
      <c r="G51" s="5" t="inlineStr">
        <is>
          <t>—</t>
        </is>
      </c>
      <c r="H51" s="5" t="inlineStr">
        <is>
          <t>B-13</t>
        </is>
      </c>
      <c r="I51" s="7" t="n"/>
      <c r="J51" s="4" t="n"/>
    </row>
    <row r="52" ht="25.5" customHeight="1">
      <c r="A52" s="2" t="inlineStr">
        <is>
          <t>Faz 7 — Docker + Droplet</t>
        </is>
      </c>
      <c r="B52" s="3" t="inlineStr">
        <is>
          <t>7.5</t>
        </is>
      </c>
      <c r="C52" s="4" t="inlineStr">
        <is>
          <t>Droplet hazırlığı: Docker + Compose, ufw (22/80/443), swap, non-root deploy user, SSH key auth</t>
        </is>
      </c>
      <c r="D52" s="3" t="n">
        <v>12</v>
      </c>
      <c r="E52" s="5" t="inlineStr">
        <is>
          <t>29.08.2026 Cmt</t>
        </is>
      </c>
      <c r="F52" s="6" t="n">
        <v>1.5</v>
      </c>
      <c r="G52" s="5" t="inlineStr">
        <is>
          <t>—</t>
        </is>
      </c>
      <c r="H52" s="5" t="inlineStr">
        <is>
          <t>—</t>
        </is>
      </c>
      <c r="I52" s="7" t="n"/>
      <c r="J52" s="4" t="n"/>
    </row>
    <row r="53" ht="15.75" customHeight="1">
      <c r="A53" s="2" t="inlineStr">
        <is>
          <t>Faz 7 — Docker + Droplet</t>
        </is>
      </c>
      <c r="B53" s="3" t="inlineStr">
        <is>
          <t>7.6</t>
        </is>
      </c>
      <c r="C53" s="4" t="inlineStr">
        <is>
          <t>Domain yönlendirme + Caddy ile otomatik Let's Encrypt HTTPS</t>
        </is>
      </c>
      <c r="D53" s="3" t="n">
        <v>12</v>
      </c>
      <c r="E53" s="5" t="inlineStr">
        <is>
          <t>29.08.2026 Cmt</t>
        </is>
      </c>
      <c r="F53" s="6" t="n">
        <v>1</v>
      </c>
      <c r="G53" s="5" t="inlineStr">
        <is>
          <t>7.5</t>
        </is>
      </c>
      <c r="H53" s="5" t="inlineStr">
        <is>
          <t>—</t>
        </is>
      </c>
      <c r="I53" s="7" t="n"/>
      <c r="J53" s="4" t="n"/>
    </row>
    <row r="54" ht="25.5" customHeight="1">
      <c r="A54" s="2" t="inlineStr">
        <is>
          <t>Faz 7 — Docker + Droplet</t>
        </is>
      </c>
      <c r="B54" s="3" t="inlineStr">
        <is>
          <t>7.7</t>
        </is>
      </c>
      <c r="C54" s="4" t="inlineStr">
        <is>
          <t>CORS_ORIGINS'i gerçek frontend domain'ine ayarla; production'da /docs + /redoc'u kapat veya koru</t>
        </is>
      </c>
      <c r="D54" s="3" t="n">
        <v>13</v>
      </c>
      <c r="E54" s="5" t="inlineStr">
        <is>
          <t>30.08.2026 Paz</t>
        </is>
      </c>
      <c r="F54" s="6" t="n">
        <v>0.5</v>
      </c>
      <c r="G54" s="5" t="inlineStr">
        <is>
          <t>7.6</t>
        </is>
      </c>
      <c r="H54" s="5" t="inlineStr">
        <is>
          <t>B-15</t>
        </is>
      </c>
      <c r="I54" s="7" t="n"/>
      <c r="J54" s="4" t="n"/>
    </row>
    <row r="55" ht="15.75" customHeight="1">
      <c r="A55" s="2" t="inlineStr">
        <is>
          <t>Faz 7 — Docker + Droplet</t>
        </is>
      </c>
      <c r="B55" s="3" t="inlineStr">
        <is>
          <t>7.8</t>
        </is>
      </c>
      <c r="C55" s="4" t="inlineStr">
        <is>
          <t>Günlük pg_dump yedeği (cron, 7 gün saklama) + geri yüklemeyi bir kez dene</t>
        </is>
      </c>
      <c r="D55" s="3" t="n">
        <v>13</v>
      </c>
      <c r="E55" s="5" t="inlineStr">
        <is>
          <t>30.08.2026 Paz</t>
        </is>
      </c>
      <c r="F55" s="6" t="n">
        <v>1</v>
      </c>
      <c r="G55" s="5" t="inlineStr">
        <is>
          <t>7.6</t>
        </is>
      </c>
      <c r="H55" s="5" t="inlineStr">
        <is>
          <t>—</t>
        </is>
      </c>
      <c r="I55" s="7" t="n"/>
      <c r="J55" s="4" t="n"/>
    </row>
    <row r="56" ht="15.75" customHeight="1">
      <c r="A56" s="2" t="inlineStr">
        <is>
          <t>Faz 7 — Docker + Droplet</t>
        </is>
      </c>
      <c r="B56" s="3" t="inlineStr">
        <is>
          <t>7.K</t>
        </is>
      </c>
      <c r="C56" s="4" t="inlineStr">
        <is>
          <t>KRİTİK: .env dosyasını droplet'e git ile DEĞİL, scp ile taşı</t>
        </is>
      </c>
      <c r="D56" s="3" t="n">
        <v>13</v>
      </c>
      <c r="E56" s="5" t="inlineStr">
        <is>
          <t>30.08.2026 Paz</t>
        </is>
      </c>
      <c r="F56" s="6" t="n">
        <v>0.25</v>
      </c>
      <c r="G56" s="5" t="inlineStr">
        <is>
          <t>7.5</t>
        </is>
      </c>
      <c r="H56" s="5" t="inlineStr">
        <is>
          <t>—</t>
        </is>
      </c>
      <c r="I56" s="7" t="n"/>
      <c r="J56" s="4" t="n"/>
    </row>
    <row r="57" ht="15.75" customHeight="1">
      <c r="A57" s="2" t="inlineStr">
        <is>
          <t>Faz 8 — Kapanış</t>
        </is>
      </c>
      <c r="B57" s="3" t="inlineStr">
        <is>
          <t>8.1</t>
        </is>
      </c>
      <c r="C57" s="4" t="inlineStr">
        <is>
          <t>GitHub Actions: her push'ta pytest + ruff check</t>
        </is>
      </c>
      <c r="D57" s="3" t="n">
        <v>14</v>
      </c>
      <c r="E57" s="5" t="inlineStr">
        <is>
          <t>31.08.2026 Pzt</t>
        </is>
      </c>
      <c r="F57" s="6" t="n">
        <v>1.5</v>
      </c>
      <c r="G57" s="5" t="inlineStr">
        <is>
          <t>Faz 2</t>
        </is>
      </c>
      <c r="H57" s="5" t="inlineStr">
        <is>
          <t>—</t>
        </is>
      </c>
      <c r="I57" s="7" t="n"/>
      <c r="J57" s="4" t="n"/>
    </row>
    <row r="58" ht="15.75" customHeight="1">
      <c r="A58" s="2" t="inlineStr">
        <is>
          <t>Faz 8 — Kapanış</t>
        </is>
      </c>
      <c r="B58" s="3" t="inlineStr">
        <is>
          <t>8.2</t>
        </is>
      </c>
      <c r="C58" s="4" t="inlineStr">
        <is>
          <t>Frontend'i canlı API'ye bağla; uçtan uca smoke test (projeler, blog, login, upload, iletişim)</t>
        </is>
      </c>
      <c r="D58" s="3" t="n">
        <v>14</v>
      </c>
      <c r="E58" s="5" t="inlineStr">
        <is>
          <t>31.08.2026 Pzt</t>
        </is>
      </c>
      <c r="F58" s="6" t="n">
        <v>1</v>
      </c>
      <c r="G58" s="5" t="inlineStr">
        <is>
          <t>Faz 7</t>
        </is>
      </c>
      <c r="H58" s="5" t="inlineStr">
        <is>
          <t>—</t>
        </is>
      </c>
      <c r="I58" s="7" t="n"/>
      <c r="J58" s="4" t="n"/>
    </row>
    <row r="59" ht="15.75" customHeight="1">
      <c r="A59" s="2" t="inlineStr">
        <is>
          <t>Faz 8 — Kapanış</t>
        </is>
      </c>
      <c r="B59" s="3" t="inlineStr">
        <is>
          <t>8.3</t>
        </is>
      </c>
      <c r="C59" s="4" t="inlineStr">
        <is>
          <t>README + .env.example son hali; /docs endpoint açıklamalarını gözden geçir</t>
        </is>
      </c>
      <c r="D59" s="3" t="n">
        <v>14</v>
      </c>
      <c r="E59" s="5" t="inlineStr">
        <is>
          <t>31.08.2026 Pzt</t>
        </is>
      </c>
      <c r="F59" s="6" t="n">
        <v>1</v>
      </c>
      <c r="G59" s="5" t="inlineStr">
        <is>
          <t>8.2</t>
        </is>
      </c>
      <c r="H59" s="5" t="inlineStr">
        <is>
          <t>—</t>
        </is>
      </c>
      <c r="I59" s="7" t="n"/>
      <c r="J59" s="4" t="n"/>
    </row>
    <row r="60" ht="15.75" customHeight="1">
      <c r="A60" s="2" t="inlineStr">
        <is>
          <t>Faz 8 — Kapanış</t>
        </is>
      </c>
      <c r="B60" s="3" t="inlineStr">
        <is>
          <t>8.4</t>
        </is>
      </c>
      <c r="C60" s="4" t="inlineStr">
        <is>
          <t>8 başarı kriterini tek tek doğrula ve işaretle</t>
        </is>
      </c>
      <c r="D60" s="3" t="n">
        <v>14</v>
      </c>
      <c r="E60" s="5" t="inlineStr">
        <is>
          <t>31.08.2026 Pzt</t>
        </is>
      </c>
      <c r="F60" s="6" t="n">
        <v>0.5</v>
      </c>
      <c r="G60" s="5" t="inlineStr">
        <is>
          <t>8.3</t>
        </is>
      </c>
      <c r="H60" s="5" t="inlineStr">
        <is>
          <t>—</t>
        </is>
      </c>
      <c r="I60" s="7" t="n"/>
      <c r="J60" s="4" t="n"/>
    </row>
  </sheetData>
  <autoFilter ref="A1:J60"/>
  <conditionalFormatting sqref="A2:J60">
    <cfRule type="expression" priority="2" dxfId="0">
      <formula>$I2="✓"</formula>
    </cfRule>
  </conditionalFormatting>
  <dataValidations count="1">
    <dataValidation sqref="I2:I60" showDropDown="0" showInputMessage="0" showErrorMessage="0" allowBlank="1" error="Lütfen listeden ✓ seçin veya hücreyi boş bırakın." promptTitle="Yapıldı mı?" prompt="Görev bittiyse ✓ seçin — satır yeşile döner." type="list">
      <formula1>"✓"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zoomScaleNormal="100" workbookViewId="0">
      <selection activeCell="A1" sqref="A1"/>
    </sheetView>
  </sheetViews>
  <sheetFormatPr baseColWidth="8" defaultColWidth="8.7109375" defaultRowHeight="15"/>
  <cols>
    <col width="30" customWidth="1" min="1" max="1"/>
    <col width="10" customWidth="1" min="2" max="3"/>
    <col width="17" customWidth="1" min="4" max="5"/>
    <col width="12" customWidth="1" min="6" max="6"/>
  </cols>
  <sheetData>
    <row r="1" ht="18" customHeight="1">
      <c r="A1" s="8" t="inlineStr">
        <is>
          <t>Personal Portfolio Backend — İlerleme Özeti</t>
        </is>
      </c>
    </row>
    <row r="2">
      <c r="A2" s="9" t="inlineStr">
        <is>
          <t>Plan tarihi: 18.08.2026  ·  Süre: 14 gün (18–31 Ağustos 2026)</t>
        </is>
      </c>
    </row>
    <row r="3">
      <c r="A3" s="10" t="inlineStr">
        <is>
          <t>Görev Takibi sekmesindeki "Yapıldı mı?" sütununa ✓ girdikçe bu tablo kendini günceller.</t>
        </is>
      </c>
    </row>
    <row r="5" ht="30" customHeight="1">
      <c r="A5" s="1" t="inlineStr">
        <is>
          <t>Faz</t>
        </is>
      </c>
      <c r="B5" s="1" t="inlineStr">
        <is>
          <t>Görev</t>
        </is>
      </c>
      <c r="C5" s="1" t="inlineStr">
        <is>
          <t>Biten</t>
        </is>
      </c>
      <c r="D5" s="1" t="inlineStr">
        <is>
          <t>Toplam efor (sa)</t>
        </is>
      </c>
      <c r="E5" s="1" t="inlineStr">
        <is>
          <t>Biten efor (sa)</t>
        </is>
      </c>
      <c r="F5" s="1" t="inlineStr">
        <is>
          <t>İlerleme</t>
        </is>
      </c>
    </row>
    <row r="6">
      <c r="A6" s="11" t="inlineStr">
        <is>
          <t>Faz 0 — Temizlik ve Zemin</t>
        </is>
      </c>
      <c r="B6" s="12">
        <f>COUNTIF('Görev Takibi'!$A$2:$A$60,$A6)</f>
        <v/>
      </c>
      <c r="C6" s="12">
        <f>COUNTIFS('Görev Takibi'!$A$2:$A$60,$A6,'Görev Takibi'!$I$2:$I$60,"✓")</f>
        <v/>
      </c>
      <c r="D6" s="13">
        <f>SUMIF('Görev Takibi'!$A$2:$A$60,$A6,'Görev Takibi'!$F$2:$F$60)</f>
        <v/>
      </c>
      <c r="E6" s="13">
        <f>SUMIFS('Görev Takibi'!$F$2:$F$60,'Görev Takibi'!$A$2:$A$60,$A6,'Görev Takibi'!$I$2:$I$60,"✓")</f>
        <v/>
      </c>
      <c r="F6" s="14">
        <f>IFERROR($C6/$B6,0)</f>
        <v/>
      </c>
    </row>
    <row r="7">
      <c r="A7" s="11" t="inlineStr">
        <is>
          <t>Faz 1 — Router, Şema, Repository</t>
        </is>
      </c>
      <c r="B7" s="12">
        <f>COUNTIF('Görev Takibi'!$A$2:$A$60,$A7)</f>
        <v/>
      </c>
      <c r="C7" s="12">
        <f>COUNTIFS('Görev Takibi'!$A$2:$A$60,$A7,'Görev Takibi'!$I$2:$I$60,"✓")</f>
        <v/>
      </c>
      <c r="D7" s="13">
        <f>SUMIF('Görev Takibi'!$A$2:$A$60,$A7,'Görev Takibi'!$F$2:$F$60)</f>
        <v/>
      </c>
      <c r="E7" s="13">
        <f>SUMIFS('Görev Takibi'!$F$2:$F$60,'Görev Takibi'!$A$2:$A$60,$A7,'Görev Takibi'!$I$2:$I$60,"✓")</f>
        <v/>
      </c>
      <c r="F7" s="14">
        <f>IFERROR($C7/$B7,0)</f>
        <v/>
      </c>
    </row>
    <row r="8">
      <c r="A8" s="11" t="inlineStr">
        <is>
          <t>Faz 2 — Test Altyapısı</t>
        </is>
      </c>
      <c r="B8" s="12">
        <f>COUNTIF('Görev Takibi'!$A$2:$A$60,$A8)</f>
        <v/>
      </c>
      <c r="C8" s="12">
        <f>COUNTIFS('Görev Takibi'!$A$2:$A$60,$A8,'Görev Takibi'!$I$2:$I$60,"✓")</f>
        <v/>
      </c>
      <c r="D8" s="13">
        <f>SUMIF('Görev Takibi'!$A$2:$A$60,$A8,'Görev Takibi'!$F$2:$F$60)</f>
        <v/>
      </c>
      <c r="E8" s="13">
        <f>SUMIFS('Görev Takibi'!$F$2:$F$60,'Görev Takibi'!$A$2:$A$60,$A8,'Görev Takibi'!$I$2:$I$60,"✓")</f>
        <v/>
      </c>
      <c r="F8" s="14">
        <f>IFERROR($C8/$B8,0)</f>
        <v/>
      </c>
    </row>
    <row r="9">
      <c r="A9" s="11" t="inlineStr">
        <is>
          <t>Faz 3 — Alembic + PostgreSQL</t>
        </is>
      </c>
      <c r="B9" s="12">
        <f>COUNTIF('Görev Takibi'!$A$2:$A$60,$A9)</f>
        <v/>
      </c>
      <c r="C9" s="12">
        <f>COUNTIFS('Görev Takibi'!$A$2:$A$60,$A9,'Görev Takibi'!$I$2:$I$60,"✓")</f>
        <v/>
      </c>
      <c r="D9" s="13">
        <f>SUMIF('Görev Takibi'!$A$2:$A$60,$A9,'Görev Takibi'!$F$2:$F$60)</f>
        <v/>
      </c>
      <c r="E9" s="13">
        <f>SUMIFS('Görev Takibi'!$F$2:$F$60,'Görev Takibi'!$A$2:$A$60,$A9,'Görev Takibi'!$I$2:$I$60,"✓")</f>
        <v/>
      </c>
      <c r="F9" s="14">
        <f>IFERROR($C9/$B9,0)</f>
        <v/>
      </c>
    </row>
    <row r="10">
      <c r="A10" s="11" t="inlineStr">
        <is>
          <t>Faz 4 — Blog Modülü</t>
        </is>
      </c>
      <c r="B10" s="12">
        <f>COUNTIF('Görev Takibi'!$A$2:$A$60,$A10)</f>
        <v/>
      </c>
      <c r="C10" s="12">
        <f>COUNTIFS('Görev Takibi'!$A$2:$A$60,$A10,'Görev Takibi'!$I$2:$I$60,"✓")</f>
        <v/>
      </c>
      <c r="D10" s="13">
        <f>SUMIF('Görev Takibi'!$A$2:$A$60,$A10,'Görev Takibi'!$F$2:$F$60)</f>
        <v/>
      </c>
      <c r="E10" s="13">
        <f>SUMIFS('Görev Takibi'!$F$2:$F$60,'Görev Takibi'!$A$2:$A$60,$A10,'Görev Takibi'!$I$2:$I$60,"✓")</f>
        <v/>
      </c>
      <c r="F10" s="14">
        <f>IFERROR($C10/$B10,0)</f>
        <v/>
      </c>
    </row>
    <row r="11">
      <c r="A11" s="11" t="inlineStr">
        <is>
          <t>Faz 5 — Admin Auth (JWT)</t>
        </is>
      </c>
      <c r="B11" s="12">
        <f>COUNTIF('Görev Takibi'!$A$2:$A$60,$A11)</f>
        <v/>
      </c>
      <c r="C11" s="12">
        <f>COUNTIFS('Görev Takibi'!$A$2:$A$60,$A11,'Görev Takibi'!$I$2:$I$60,"✓")</f>
        <v/>
      </c>
      <c r="D11" s="13">
        <f>SUMIF('Görev Takibi'!$A$2:$A$60,$A11,'Görev Takibi'!$F$2:$F$60)</f>
        <v/>
      </c>
      <c r="E11" s="13">
        <f>SUMIFS('Görev Takibi'!$F$2:$F$60,'Görev Takibi'!$A$2:$A$60,$A11,'Görev Takibi'!$I$2:$I$60,"✓")</f>
        <v/>
      </c>
      <c r="F11" s="14">
        <f>IFERROR($C11/$B11,0)</f>
        <v/>
      </c>
    </row>
    <row r="12">
      <c r="A12" s="11" t="inlineStr">
        <is>
          <t>Faz 6 — Medya + İletişim</t>
        </is>
      </c>
      <c r="B12" s="12">
        <f>COUNTIF('Görev Takibi'!$A$2:$A$60,$A12)</f>
        <v/>
      </c>
      <c r="C12" s="12">
        <f>COUNTIFS('Görev Takibi'!$A$2:$A$60,$A12,'Görev Takibi'!$I$2:$I$60,"✓")</f>
        <v/>
      </c>
      <c r="D12" s="13">
        <f>SUMIF('Görev Takibi'!$A$2:$A$60,$A12,'Görev Takibi'!$F$2:$F$60)</f>
        <v/>
      </c>
      <c r="E12" s="13">
        <f>SUMIFS('Görev Takibi'!$F$2:$F$60,'Görev Takibi'!$A$2:$A$60,$A12,'Görev Takibi'!$I$2:$I$60,"✓")</f>
        <v/>
      </c>
      <c r="F12" s="14">
        <f>IFERROR($C12/$B12,0)</f>
        <v/>
      </c>
    </row>
    <row r="13">
      <c r="A13" s="11" t="inlineStr">
        <is>
          <t>Faz 7 — Docker + Droplet</t>
        </is>
      </c>
      <c r="B13" s="12">
        <f>COUNTIF('Görev Takibi'!$A$2:$A$60,$A13)</f>
        <v/>
      </c>
      <c r="C13" s="12">
        <f>COUNTIFS('Görev Takibi'!$A$2:$A$60,$A13,'Görev Takibi'!$I$2:$I$60,"✓")</f>
        <v/>
      </c>
      <c r="D13" s="13">
        <f>SUMIF('Görev Takibi'!$A$2:$A$60,$A13,'Görev Takibi'!$F$2:$F$60)</f>
        <v/>
      </c>
      <c r="E13" s="13">
        <f>SUMIFS('Görev Takibi'!$F$2:$F$60,'Görev Takibi'!$A$2:$A$60,$A13,'Görev Takibi'!$I$2:$I$60,"✓")</f>
        <v/>
      </c>
      <c r="F13" s="14">
        <f>IFERROR($C13/$B13,0)</f>
        <v/>
      </c>
    </row>
    <row r="14">
      <c r="A14" s="11" t="inlineStr">
        <is>
          <t>Faz 8 — Kapanış</t>
        </is>
      </c>
      <c r="B14" s="12">
        <f>COUNTIF('Görev Takibi'!$A$2:$A$60,$A14)</f>
        <v/>
      </c>
      <c r="C14" s="12">
        <f>COUNTIFS('Görev Takibi'!$A$2:$A$60,$A14,'Görev Takibi'!$I$2:$I$60,"✓")</f>
        <v/>
      </c>
      <c r="D14" s="13">
        <f>SUMIF('Görev Takibi'!$A$2:$A$60,$A14,'Görev Takibi'!$F$2:$F$60)</f>
        <v/>
      </c>
      <c r="E14" s="13">
        <f>SUMIFS('Görev Takibi'!$F$2:$F$60,'Görev Takibi'!$A$2:$A$60,$A14,'Görev Takibi'!$I$2:$I$60,"✓")</f>
        <v/>
      </c>
      <c r="F14" s="14">
        <f>IFERROR($C14/$B14,0)</f>
        <v/>
      </c>
    </row>
    <row r="15">
      <c r="A15" s="15" t="inlineStr">
        <is>
          <t>TOPLAM</t>
        </is>
      </c>
      <c r="B15" s="16">
        <f>SUM(B6:B14)</f>
        <v/>
      </c>
      <c r="C15" s="16">
        <f>SUM(C6:C14)</f>
        <v/>
      </c>
      <c r="D15" s="17">
        <f>SUM(D6:D14)</f>
        <v/>
      </c>
      <c r="E15" s="17">
        <f>SUM(E6:E14)</f>
        <v/>
      </c>
      <c r="F15" s="18">
        <f>IFERROR($C15/$B15,0)</f>
        <v/>
      </c>
    </row>
    <row r="17">
      <c r="A17" s="19" t="inlineStr">
        <is>
          <t>Kesme sırası (takvim sıkışırsa):</t>
        </is>
      </c>
    </row>
    <row r="18">
      <c r="A18" s="20" t="inlineStr">
        <is>
          <t>1) 6.6 e-posta bildirimi  →  2) 8.1 GitHub Actions  →  3) 7.8 yedekleme cron'u (manuel pg_dump mutlaka al)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3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8" customWidth="1" min="1" max="1"/>
    <col width="10" customWidth="1" min="2" max="2"/>
    <col width="34" customWidth="1" min="3" max="3"/>
    <col width="82" customWidth="1" min="4" max="4"/>
    <col width="18" customWidth="1" min="5" max="5"/>
    <col width="13" customWidth="1" min="6" max="6"/>
  </cols>
  <sheetData>
    <row r="1" ht="30" customHeight="1">
      <c r="A1" s="1" t="inlineStr">
        <is>
          <t>Kod</t>
        </is>
      </c>
      <c r="B1" s="1" t="inlineStr">
        <is>
          <t>Öncelik</t>
        </is>
      </c>
      <c r="C1" s="1" t="inlineStr">
        <is>
          <t>Dosya</t>
        </is>
      </c>
      <c r="D1" s="1" t="inlineStr">
        <is>
          <t>Bulgu</t>
        </is>
      </c>
      <c r="E1" s="1" t="inlineStr">
        <is>
          <t>Çözüldüğü görev</t>
        </is>
      </c>
      <c r="F1" s="1" t="inlineStr">
        <is>
          <t>Çözüldü mü?</t>
        </is>
      </c>
    </row>
    <row r="2" ht="25.5" customHeight="1">
      <c r="A2" s="21" t="inlineStr">
        <is>
          <t>B-01</t>
        </is>
      </c>
      <c r="B2" s="22" t="inlineStr">
        <is>
          <t>Blocker</t>
        </is>
      </c>
      <c r="C2" s="4" t="inlineStr">
        <is>
          <t>app/core/security.py, app/api/v1/projects.py</t>
        </is>
      </c>
      <c r="D2" s="4" t="inlineStr">
        <is>
          <t>Yazma endpoint'leri tamamen korumasız; security.py yorum satırı + debug print içeriyor; yorumdaki verify_password düz metin karşılaştırıyor</t>
        </is>
      </c>
      <c r="E2" s="5" t="inlineStr">
        <is>
          <t>0.6, Faz 5</t>
        </is>
      </c>
      <c r="F2" s="7" t="n"/>
    </row>
    <row r="3" ht="25.5" customHeight="1">
      <c r="A3" s="21" t="inlineStr">
        <is>
          <t>B-02</t>
        </is>
      </c>
      <c r="B3" s="22" t="inlineStr">
        <is>
          <t>Blocker</t>
        </is>
      </c>
      <c r="C3" s="4" t="inlineStr">
        <is>
          <t>requirements.txt</t>
        </is>
      </c>
      <c r="D3" s="4" t="inlineStr">
        <is>
          <t>aiosqltite yazım hatası → pip install çalışmıyor; pydantic-settings ve greenlet eksik; databases gereksiz; sürüm pinlenmemiş</t>
        </is>
      </c>
      <c r="E3" s="5" t="inlineStr">
        <is>
          <t>0.3</t>
        </is>
      </c>
      <c r="F3" s="7" t="inlineStr">
        <is>
          <t>✓</t>
        </is>
      </c>
    </row>
    <row r="4" ht="15.75" customHeight="1">
      <c r="A4" s="21" t="inlineStr">
        <is>
          <t>B-03</t>
        </is>
      </c>
      <c r="B4" s="22" t="inlineStr">
        <is>
          <t>Blocker</t>
        </is>
      </c>
      <c r="C4" s="4" t="inlineStr">
        <is>
          <t>.gitignore</t>
        </is>
      </c>
      <c r="D4" s="4" t="inlineStr">
        <is>
          <t>myvenv/, dev.db, v1_db.db git takibinde; .gitignore sadece .env ve __pycache__ kapsıyor</t>
        </is>
      </c>
      <c r="E4" s="5" t="inlineStr">
        <is>
          <t>0.1, 0.2</t>
        </is>
      </c>
      <c r="F4" s="7" t="n"/>
    </row>
    <row r="5" ht="25.5" customHeight="1">
      <c r="A5" s="21" t="inlineStr">
        <is>
          <t>B-04</t>
        </is>
      </c>
      <c r="B5" s="23" t="inlineStr">
        <is>
          <t>Yüksek</t>
        </is>
      </c>
      <c r="C5" s="4" t="inlineStr">
        <is>
          <t>app/api/v1/projects.py, app/schemas/project.py</t>
        </is>
      </c>
      <c r="D5" s="4" t="inlineStr">
        <is>
          <t>POST body ProjectBase → id zorunlu (422) ve client primary key belirleyebiliyor (id=99 ile 200 döndü). ProjectCreate hiç kullanılmıyor ve slug içermiyor</t>
        </is>
      </c>
      <c r="E5" s="5" t="inlineStr">
        <is>
          <t>1.2</t>
        </is>
      </c>
      <c r="F5" s="7" t="inlineStr">
        <is>
          <t>✓</t>
        </is>
      </c>
    </row>
    <row r="6" ht="25.5" customHeight="1">
      <c r="A6" s="21" t="inlineStr">
        <is>
          <t>B-05</t>
        </is>
      </c>
      <c r="B6" s="23" t="inlineStr">
        <is>
          <t>Yüksek</t>
        </is>
      </c>
      <c r="C6" s="4" t="inlineStr">
        <is>
          <t>app/api/v1/projects.py</t>
        </is>
      </c>
      <c r="D6" s="4" t="inlineStr">
        <is>
          <t>response_model olarak SQLModel table model kullanılıyor → ileride hashed_password gibi alanlar API'ye sızabilir</t>
        </is>
      </c>
      <c r="E6" s="5" t="inlineStr">
        <is>
          <t>1.3</t>
        </is>
      </c>
      <c r="F6" s="7" t="n"/>
    </row>
    <row r="7" ht="15.75" customHeight="1">
      <c r="A7" s="21" t="inlineStr">
        <is>
          <t>B-06</t>
        </is>
      </c>
      <c r="B7" s="23" t="inlineStr">
        <is>
          <t>Yüksek</t>
        </is>
      </c>
      <c r="C7" s="4" t="inlineStr">
        <is>
          <t>app/db.py</t>
        </is>
      </c>
      <c r="D7" s="4" t="inlineStr">
        <is>
          <t>Migration yok; create_all var olan tabloya kolon eklemez → yeni alan sessizce uygulanmaz</t>
        </is>
      </c>
      <c r="E7" s="5" t="inlineStr">
        <is>
          <t>3.1, 3.2</t>
        </is>
      </c>
      <c r="F7" s="7" t="n"/>
    </row>
    <row r="8" ht="25.5" customHeight="1">
      <c r="A8" s="21" t="inlineStr">
        <is>
          <t>B-07</t>
        </is>
      </c>
      <c r="B8" s="23" t="inlineStr">
        <is>
          <t>Yüksek</t>
        </is>
      </c>
      <c r="C8" s="4" t="inlineStr">
        <is>
          <t>app/api/v1/projects.py, app/repositories/base.py</t>
        </is>
      </c>
      <c r="D8" s="4" t="inlineStr">
        <is>
          <t>UPDATE/DELETE endpoint'i yok; update tüm alanları yazıyor → partial update imkânsız</t>
        </is>
      </c>
      <c r="E8" s="5" t="inlineStr">
        <is>
          <t>1.6, 1.7</t>
        </is>
      </c>
      <c r="F8" s="7" t="inlineStr">
        <is>
          <t>✓</t>
        </is>
      </c>
    </row>
    <row r="9" ht="15.75" customHeight="1">
      <c r="A9" s="21" t="inlineStr">
        <is>
          <t>B-08</t>
        </is>
      </c>
      <c r="B9" s="23" t="inlineStr">
        <is>
          <t>Yüksek</t>
        </is>
      </c>
      <c r="C9" s="4" t="inlineStr">
        <is>
          <t>app/db.py</t>
        </is>
      </c>
      <c r="D9" s="4" t="inlineStr">
        <is>
          <t>db_dependency'de rollback/hata yönetimi yok</t>
        </is>
      </c>
      <c r="E9" s="5" t="inlineStr">
        <is>
          <t>1.8</t>
        </is>
      </c>
      <c r="F9" s="7" t="n"/>
    </row>
    <row r="10" ht="15.75" customHeight="1">
      <c r="A10" s="21" t="inlineStr">
        <is>
          <t>B-09</t>
        </is>
      </c>
      <c r="B10" s="24" t="inlineStr">
        <is>
          <t>Orta</t>
        </is>
      </c>
      <c r="C10" s="4" t="inlineStr">
        <is>
          <t>app/repositories/base.py</t>
        </is>
      </c>
      <c r="D10" s="4" t="inlineStr">
        <is>
          <t>get_by_slug base'e ait değil; self.model.slug slug'sız modellerde AttributeError</t>
        </is>
      </c>
      <c r="E10" s="5" t="inlineStr">
        <is>
          <t>1.6</t>
        </is>
      </c>
      <c r="F10" s="7" t="n"/>
    </row>
    <row r="11" ht="15.75" customHeight="1">
      <c r="A11" s="21" t="inlineStr">
        <is>
          <t>B-10</t>
        </is>
      </c>
      <c r="B11" s="24" t="inlineStr">
        <is>
          <t>Orta</t>
        </is>
      </c>
      <c r="C11" s="4" t="inlineStr">
        <is>
          <t>app/models/base.py</t>
        </is>
      </c>
      <c r="D11" s="4" t="inlineStr">
        <is>
          <t>BaseModel her modele name alanını zorunlu kılıyor — domain kararı değil, kolaylık kararı</t>
        </is>
      </c>
      <c r="E11" s="5" t="inlineStr">
        <is>
          <t>1.5</t>
        </is>
      </c>
      <c r="F11" s="7" t="inlineStr">
        <is>
          <t>✓</t>
        </is>
      </c>
    </row>
    <row r="12" ht="15.75" customHeight="1">
      <c r="A12" s="21" t="inlineStr">
        <is>
          <t>B-11</t>
        </is>
      </c>
      <c r="B12" s="24" t="inlineStr">
        <is>
          <t>Orta</t>
        </is>
      </c>
      <c r="C12" s="4" t="inlineStr">
        <is>
          <t>app/models/base.py</t>
        </is>
      </c>
      <c r="D12" s="4" t="inlineStr">
        <is>
          <t>updated_at alanı yok — blogda 'son güncelleme' gerekecek</t>
        </is>
      </c>
      <c r="E12" s="5" t="inlineStr">
        <is>
          <t>1.5</t>
        </is>
      </c>
      <c r="F12" s="7" t="inlineStr">
        <is>
          <t>✓</t>
        </is>
      </c>
    </row>
    <row r="13" ht="15.75" customHeight="1">
      <c r="A13" s="21" t="inlineStr">
        <is>
          <t>B-12</t>
        </is>
      </c>
      <c r="B13" s="24" t="inlineStr">
        <is>
          <t>Orta</t>
        </is>
      </c>
      <c r="C13" s="4" t="inlineStr">
        <is>
          <t>app/schemas/project.py</t>
        </is>
      </c>
      <c r="D13" s="4" t="inlineStr">
        <is>
          <t>liveDemo modelde var ama ProjectBase şemasında yok → API'den doldurulamıyor</t>
        </is>
      </c>
      <c r="E13" s="5" t="inlineStr">
        <is>
          <t>1.2</t>
        </is>
      </c>
      <c r="F13" s="7" t="inlineStr">
        <is>
          <t>✓</t>
        </is>
      </c>
    </row>
    <row r="14" ht="25.5" customHeight="1">
      <c r="A14" s="21" t="inlineStr">
        <is>
          <t>B-13</t>
        </is>
      </c>
      <c r="B14" s="24" t="inlineStr">
        <is>
          <t>Orta</t>
        </is>
      </c>
      <c r="C14" s="4" t="inlineStr">
        <is>
          <t>dependencies/exceptions/middleware/router.py</t>
        </is>
      </c>
      <c r="D14" s="4" t="inlineStr">
        <is>
          <t>Boş (0 byte) stub dosyalar; router aggregation kullanılmıyor; logging.py tek satır</t>
        </is>
      </c>
      <c r="E14" s="5" t="inlineStr">
        <is>
          <t>1.1, 7.4</t>
        </is>
      </c>
      <c r="F14" s="7" t="n"/>
    </row>
    <row r="15" ht="15.75" customHeight="1">
      <c r="A15" s="21" t="inlineStr">
        <is>
          <t>B-14</t>
        </is>
      </c>
      <c r="B15" s="24" t="inlineStr">
        <is>
          <t>Orta</t>
        </is>
      </c>
      <c r="C15" s="4" t="inlineStr">
        <is>
          <t>tests/</t>
        </is>
      </c>
      <c r="D15" s="4" t="inlineStr">
        <is>
          <t>Test yok, tests/ klasörü bile mevcut değil</t>
        </is>
      </c>
      <c r="E15" s="5" t="inlineStr">
        <is>
          <t>2.1, 2.2, 5.7</t>
        </is>
      </c>
      <c r="F15" s="7" t="n"/>
    </row>
    <row r="16" ht="15.75" customHeight="1">
      <c r="A16" s="21" t="inlineStr">
        <is>
          <t>B-15</t>
        </is>
      </c>
      <c r="B16" s="24" t="inlineStr">
        <is>
          <t>Orta</t>
        </is>
      </c>
      <c r="C16" s="4" t="inlineStr">
        <is>
          <t>app/main.py</t>
        </is>
      </c>
      <c r="D16" s="4" t="inlineStr">
        <is>
          <t>CORS origin'leri hardcoded localhost — droplet'te frontend çalışmaz</t>
        </is>
      </c>
      <c r="E16" s="5" t="inlineStr">
        <is>
          <t>0.4, 7.7</t>
        </is>
      </c>
      <c r="F16" s="7" t="inlineStr">
        <is>
          <t>✓</t>
        </is>
      </c>
    </row>
    <row r="17" ht="15.75" customHeight="1">
      <c r="A17" s="21" t="inlineStr">
        <is>
          <t>B-16</t>
        </is>
      </c>
      <c r="B17" s="24" t="inlineStr">
        <is>
          <t>Orta</t>
        </is>
      </c>
      <c r="C17" s="4" t="inlineStr">
        <is>
          <t>app/models/project.py</t>
        </is>
      </c>
      <c r="D17" s="4" t="inlineStr">
        <is>
          <t>techStack/githubLink/liveDemo camelCase — PEP 8'e aykırı; alias_generator ile çözülmeli</t>
        </is>
      </c>
      <c r="E17" s="5" t="inlineStr">
        <is>
          <t>1.4</t>
        </is>
      </c>
      <c r="F17" s="7" t="inlineStr">
        <is>
          <t>✓</t>
        </is>
      </c>
    </row>
    <row r="18" ht="15.75" customHeight="1">
      <c r="A18" s="21" t="inlineStr">
        <is>
          <t>B-17</t>
        </is>
      </c>
      <c r="B18" s="25" t="inlineStr">
        <is>
          <t>Düşük</t>
        </is>
      </c>
      <c r="C18" s="4" t="inlineStr">
        <is>
          <t>README.md</t>
        </is>
      </c>
      <c r="D18" s="4" t="inlineStr">
        <is>
          <t>UTF-16 kodlanmış, ağaç karakterleri bozuk; hâlâ users/orders örneğini anlatıyor</t>
        </is>
      </c>
      <c r="E18" s="5" t="inlineStr">
        <is>
          <t>0.7</t>
        </is>
      </c>
      <c r="F18" s="7" t="inlineStr">
        <is>
          <t>✓</t>
        </is>
      </c>
    </row>
    <row r="19" ht="15.75" customHeight="1">
      <c r="A19" s="21" t="inlineStr">
        <is>
          <t>B-18</t>
        </is>
      </c>
      <c r="B19" s="25" t="inlineStr">
        <is>
          <t>Düşük</t>
        </is>
      </c>
      <c r="C19" s="4" t="inlineStr">
        <is>
          <t>—</t>
        </is>
      </c>
      <c r="D19" s="4" t="inlineStr">
        <is>
          <t>.env.example yok — projeyi başka makinede kurmak için hangi değişkenler gerektiği belirsiz</t>
        </is>
      </c>
      <c r="E19" s="5" t="inlineStr">
        <is>
          <t>0.5</t>
        </is>
      </c>
      <c r="F19" s="7" t="inlineStr">
        <is>
          <t>✓</t>
        </is>
      </c>
    </row>
    <row r="20" ht="15.75" customHeight="1">
      <c r="A20" s="21" t="inlineStr">
        <is>
          <t>B-19</t>
        </is>
      </c>
      <c r="B20" s="25" t="inlineStr">
        <is>
          <t>Düşük</t>
        </is>
      </c>
      <c r="C20" s="4" t="inlineStr">
        <is>
          <t>app/api/__init__.py</t>
        </is>
      </c>
      <c r="D20" s="4" t="inlineStr">
        <is>
          <t>from .v1 import * — wildcard import</t>
        </is>
      </c>
      <c r="E20" s="5" t="inlineStr">
        <is>
          <t>1.1</t>
        </is>
      </c>
      <c r="F20" s="7" t="inlineStr">
        <is>
          <t>✓</t>
        </is>
      </c>
    </row>
    <row r="21" ht="25.5" customHeight="1">
      <c r="A21" s="21" t="inlineStr">
        <is>
          <t>B-20</t>
        </is>
      </c>
      <c r="B21" s="25" t="inlineStr">
        <is>
          <t>Düşük</t>
        </is>
      </c>
      <c r="C21" s="4" t="inlineStr">
        <is>
          <t>app/models/readme.md, app/schemas/readme.md</t>
        </is>
      </c>
      <c r="D21" s="4" t="inlineStr">
        <is>
          <t>Var olmayan blog.py'yi anlatıyor</t>
        </is>
      </c>
      <c r="E21" s="5" t="inlineStr">
        <is>
          <t>0.7</t>
        </is>
      </c>
      <c r="F21" s="7" t="inlineStr">
        <is>
          <t>✓</t>
        </is>
      </c>
    </row>
    <row r="22" ht="15.75" customHeight="1">
      <c r="A22" s="21" t="inlineStr">
        <is>
          <t>B-21</t>
        </is>
      </c>
      <c r="B22" s="25" t="inlineStr">
        <is>
          <t>Düşük</t>
        </is>
      </c>
      <c r="C22" s="4" t="inlineStr">
        <is>
          <t>app/repositories/base.py</t>
        </is>
      </c>
      <c r="D22" s="4" t="inlineStr">
        <is>
          <t>get_all limiti 1000 sabit; sayfalama metadata'sı (total/page) yok</t>
        </is>
      </c>
      <c r="E22" s="5" t="inlineStr">
        <is>
          <t>1.7</t>
        </is>
      </c>
      <c r="F22" s="7" t="n"/>
    </row>
    <row r="23" ht="15.75" customHeight="1">
      <c r="A23" s="21" t="inlineStr">
        <is>
          <t>B-22</t>
        </is>
      </c>
      <c r="B23" s="25" t="inlineStr">
        <is>
          <t>Düşük</t>
        </is>
      </c>
      <c r="C23" s="4" t="inlineStr">
        <is>
          <t>—</t>
        </is>
      </c>
      <c r="D23" s="4" t="inlineStr">
        <is>
          <t>Yerel Python 3.14 çok yeni; Docker imajında 3.12 gibi oturmuş sürüm tercih edilmeli</t>
        </is>
      </c>
      <c r="E23" s="5" t="inlineStr">
        <is>
          <t>7.1</t>
        </is>
      </c>
      <c r="F23" s="7" t="n"/>
    </row>
  </sheetData>
  <autoFilter ref="A1:F23"/>
  <conditionalFormatting sqref="A2:F23">
    <cfRule type="expression" priority="2" dxfId="0">
      <formula>$F2="✓"</formula>
    </cfRule>
  </conditionalFormatting>
  <dataValidations count="1">
    <dataValidation sqref="F2:F23" showDropDown="0" showInputMessage="0" showErrorMessage="0" allowBlank="1" promptTitle="Çözüldü mü?" prompt="Bulgu kapatıldıysa ✓ seçin." type="list">
      <formula1>"✓"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2026-08-18T13:18:34Z</dcterms:created>
  <dcterms:modified xmlns:dcterms="http://purl.org/dc/terms/" xmlns:xsi="http://www.w3.org/2001/XMLSchema-instance" xsi:type="dcterms:W3CDTF">2026-10-27T22:10:02Z</dcterms:modified>
  <cp:lastModifiedBy>Mehmet Akif AYZİT</cp:lastModifiedBy>
  <cp:revision>0</cp:revision>
</cp:coreProperties>
</file>