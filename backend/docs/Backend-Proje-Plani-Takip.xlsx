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hmet\Desktop\personal-blog\backend\docs\"/>
    </mc:Choice>
  </mc:AlternateContent>
  <xr:revisionPtr revIDLastSave="0" documentId="13_ncr:1_{435CA61F-4410-4F73-B8AF-1E6BC4A4B63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Görev Takibi" sheetId="1" r:id="rId1"/>
    <sheet name="Özet" sheetId="2" r:id="rId2"/>
    <sheet name="Denetim Bulguları" sheetId="3" r:id="rId3"/>
  </sheets>
  <definedNames>
    <definedName name="_xlnm._FilterDatabase" localSheetId="2" hidden="1">'Denetim Bulguları'!$A$1:$F$23</definedName>
    <definedName name="_xlnm._FilterDatabase" localSheetId="0" hidden="1">'Görev Takibi'!$A$1:$J$60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2" l="1"/>
  <c r="D14" i="2"/>
  <c r="C14" i="2"/>
  <c r="F14" i="2" s="1"/>
  <c r="B14" i="2"/>
  <c r="E13" i="2"/>
  <c r="D13" i="2"/>
  <c r="C13" i="2"/>
  <c r="F13" i="2" s="1"/>
  <c r="B13" i="2"/>
  <c r="E12" i="2"/>
  <c r="D12" i="2"/>
  <c r="C12" i="2"/>
  <c r="F12" i="2" s="1"/>
  <c r="B12" i="2"/>
  <c r="E11" i="2"/>
  <c r="D11" i="2"/>
  <c r="C11" i="2"/>
  <c r="F11" i="2" s="1"/>
  <c r="B11" i="2"/>
  <c r="E10" i="2"/>
  <c r="D10" i="2"/>
  <c r="C10" i="2"/>
  <c r="F10" i="2" s="1"/>
  <c r="B10" i="2"/>
  <c r="E9" i="2"/>
  <c r="D9" i="2"/>
  <c r="C9" i="2"/>
  <c r="F9" i="2" s="1"/>
  <c r="B9" i="2"/>
  <c r="E8" i="2"/>
  <c r="D8" i="2"/>
  <c r="C8" i="2"/>
  <c r="F8" i="2" s="1"/>
  <c r="B8" i="2"/>
  <c r="E7" i="2"/>
  <c r="D7" i="2"/>
  <c r="C7" i="2"/>
  <c r="F7" i="2" s="1"/>
  <c r="B7" i="2"/>
  <c r="E6" i="2"/>
  <c r="D6" i="2"/>
  <c r="D15" i="2" s="1"/>
  <c r="C6" i="2"/>
  <c r="F6" i="2" s="1"/>
  <c r="B6" i="2"/>
  <c r="B15" i="2" s="1"/>
  <c r="E15" i="2" l="1"/>
  <c r="C15" i="2"/>
  <c r="F15" i="2" s="1"/>
</calcChain>
</file>

<file path=xl/sharedStrings.xml><?xml version="1.0" encoding="utf-8"?>
<sst xmlns="http://schemas.openxmlformats.org/spreadsheetml/2006/main" count="544" uniqueCount="267">
  <si>
    <t>Faz</t>
  </si>
  <si>
    <t>No</t>
  </si>
  <si>
    <t>Görev</t>
  </si>
  <si>
    <t>Gün</t>
  </si>
  <si>
    <t>Tarih</t>
  </si>
  <si>
    <t>Efor (sa)</t>
  </si>
  <si>
    <t>Bağımlılık</t>
  </si>
  <si>
    <t>Kapattığı bulgu</t>
  </si>
  <si>
    <t>Yapıldı mı?</t>
  </si>
  <si>
    <t>Not</t>
  </si>
  <si>
    <t>Faz 0 — Temizlik ve Zemin</t>
  </si>
  <si>
    <t>0.1</t>
  </si>
  <si>
    <t>.gitignore'u genişlet: myvenv/, .venv/, *.db, __pycache__/, .env, .idea/, .vscode/, .pytest_cache/</t>
  </si>
  <si>
    <t>18.08.2026 Sal</t>
  </si>
  <si>
    <t>—</t>
  </si>
  <si>
    <t>B-03</t>
  </si>
  <si>
    <t>✓</t>
  </si>
  <si>
    <t>0.2</t>
  </si>
  <si>
    <t>git rm -r --cached myvenv dev.db v1_db.db ile takipten çıkar ve commit'le</t>
  </si>
  <si>
    <t>Kontrol edilemedi: git deposu bu klasörde görünmüyor. 'git ls-files myvenv dev.db v1_db.db' boş dönmeli.</t>
  </si>
  <si>
    <t>0.3</t>
  </si>
  <si>
    <t>requirements.txt düzelt: aiosqltite→aiosqlite, pydantic-settings + greenlet ekle, databases çıkar, sürümleri pinle</t>
  </si>
  <si>
    <t>B-02</t>
  </si>
  <si>
    <t>requirements.txt düzgün ve pinli. Eksik: requirements-dev.txt henüz yok (test bağımlılıkları gelince ayır).</t>
  </si>
  <si>
    <t>0.4</t>
  </si>
  <si>
    <t>Settings'i genişlet: ENV, CORS_ORIGINS, JWT_SECRET, JWT_ALGORITHM, ACCESS_TOKEN_EXPIRE_MINUTES</t>
  </si>
  <si>
    <t>B-15</t>
  </si>
  <si>
    <t>0.5</t>
  </si>
  <si>
    <t>.env.example yaz (gerçek değer yok, sadece anahtar isimleri)</t>
  </si>
  <si>
    <t>B-18</t>
  </si>
  <si>
    <t>0.6</t>
  </si>
  <si>
    <t>core/security.py'yi temizle: debug print ve ölü yorum bloğunu sil</t>
  </si>
  <si>
    <t>B-01</t>
  </si>
  <si>
    <t>0.7</t>
  </si>
  <si>
    <t>README.md'yi UTF-8 olarak yeniden yaz; models/readme.md ve schemas/readme.md'yi güncelle</t>
  </si>
  <si>
    <t>B-17, B-20</t>
  </si>
  <si>
    <t>0.8</t>
  </si>
  <si>
    <t>bug_report.json'ı docs/ altına arşivle veya sil</t>
  </si>
  <si>
    <t>0.K</t>
  </si>
  <si>
    <t>KONTROL: temiz klonda pip install + uvicorn app.main:app çalışıyor</t>
  </si>
  <si>
    <t>Faz 1 — Router, Şema, Repository</t>
  </si>
  <si>
    <t>1.1</t>
  </si>
  <si>
    <t>api/v1/router.py + api/router.py doldur; main.py tek include_router yapsın; wildcard import'u kaldır</t>
  </si>
  <si>
    <t>19.08.2026 Çar</t>
  </si>
  <si>
    <t>Faz 0</t>
  </si>
  <si>
    <t>B-13, B-19</t>
  </si>
  <si>
    <t>1.2</t>
  </si>
  <si>
    <t>Şemaları ayır: ProjectCreate (id yok), ProjectUpdate (hepsi Optional), ProjectRead (id+tarihler)</t>
  </si>
  <si>
    <t>B-04, B-12</t>
  </si>
  <si>
    <t>1.3</t>
  </si>
  <si>
    <t>response_model'leri ProjectRead yap; SQLModel table model'i API yüzeyinden çek</t>
  </si>
  <si>
    <t>B-05</t>
  </si>
  <si>
    <t>⚠ Kısmen: GET route'ları ProjectRead dönüyor; POST, PATCH ve PUT /slug route'larında response_model yok → tablo modeli (snake_case) dönüyor.</t>
  </si>
  <si>
    <t>1.4</t>
  </si>
  <si>
    <t>Alan adlarını snake_case'e çevir + alias_generator=to_camel ile JSON'da camelCase koru</t>
  </si>
  <si>
    <t>B-16</t>
  </si>
  <si>
    <t>1.5</t>
  </si>
  <si>
    <t>BaseModel'den name'i çıkar; id + created_at + updated_at bırak; Project'e kendi name'ini ekle</t>
  </si>
  <si>
    <t>20.08.2026 Per</t>
  </si>
  <si>
    <t>B-10, B-11</t>
  </si>
  <si>
    <t>1.6</t>
  </si>
  <si>
    <t>get_by_slug'ı ProjectRepository'ye taşı; update'i exclude_unset=True ile partial update yap</t>
  </si>
  <si>
    <t>B-07, B-09</t>
  </si>
  <si>
    <t>⚠ Kısmen: PATCH exclude_unset ile çalışıyor. get_by_slug ise hâlâ BaseRepository içinde (ProjectRepository'de override edilmiş).</t>
  </si>
  <si>
    <t>1.7</t>
  </si>
  <si>
    <t>PUT/PATCH/DELETE endpoint'leri + Page[T] sayfalama şeması (items, total, page, size)</t>
  </si>
  <si>
    <t>B-07, B-21</t>
  </si>
  <si>
    <t>Kısmen: PUT/PATCH/DELETE route'ları var. Page[T] sayfalama şeması yok (get_all düz liste dönüyor).</t>
  </si>
  <si>
    <t>1.8</t>
  </si>
  <si>
    <t>db_dependency'ye try/except/rollback ekle</t>
  </si>
  <si>
    <t>B-08</t>
  </si>
  <si>
    <t>Yapılmadı: db_dependency'de try/except/rollback yok.</t>
  </si>
  <si>
    <t>1.K</t>
  </si>
  <si>
    <t>KONTROL: /docs'ta 5 project endpoint'i; POST id istemiyor; PATCH tek alan güncelliyor</t>
  </si>
  <si>
    <t>Doğrulandı: POST id istemiyor, PATCH tek alan güncelliyor, projects için PUT/PATCH/DELETE route'ları /docs'ta var.</t>
  </si>
  <si>
    <t>Faz 2 — Test Altyapısı</t>
  </si>
  <si>
    <t>2.1</t>
  </si>
  <si>
    <t>pytest + pytest-asyncio + httpx; conftest.py: in-memory async engine, AsyncClient fixture, dependency override</t>
  </si>
  <si>
    <t>Faz 1</t>
  </si>
  <si>
    <t>B-14</t>
  </si>
  <si>
    <t>Yapılmadı: tests/ klasörü yok.</t>
  </si>
  <si>
    <t>2.2</t>
  </si>
  <si>
    <t>test_projects.py: create/list/get/update/delete + 404 + 422 + sayfalama testleri</t>
  </si>
  <si>
    <t>2.K</t>
  </si>
  <si>
    <t>KONTROL: pytest yeşil, en az 10 test geçiyor</t>
  </si>
  <si>
    <t>Faz 3 — Alembic + PostgreSQL</t>
  </si>
  <si>
    <t>3.1</t>
  </si>
  <si>
    <t>alembic init -t async alembic; env.py'yi SQLModel metadata + settings.DATABASE_URL ile bağla</t>
  </si>
  <si>
    <t>21.08.2026 Cum</t>
  </si>
  <si>
    <t>B-06</t>
  </si>
  <si>
    <t>Yapılmadı: alembic/ klasörü yok; db.py hâlâ create_all kullanıyor.</t>
  </si>
  <si>
    <t>3.2</t>
  </si>
  <si>
    <t>İlk migration'ı üret; init_db()/create_all çağrısını lifespan'den kaldır</t>
  </si>
  <si>
    <t>3.3</t>
  </si>
  <si>
    <t>docker-compose.yml'e postgres:17-alpine ekle; asyncpg bağımlılığı; DATABASE_URL env'den</t>
  </si>
  <si>
    <t>3.4</t>
  </si>
  <si>
    <t>Migration + testleri Postgres'e karşı çalıştır; JSON→JSONB davranışını doğrula</t>
  </si>
  <si>
    <t>3.K</t>
  </si>
  <si>
    <t>KONTROL: boş Postgres'te alembic upgrade head şemayı kuruyor; pytest iki DB'de de yeşil</t>
  </si>
  <si>
    <t>Faz 4 — Blog (Post) Modülü</t>
  </si>
  <si>
    <t>4.1</t>
  </si>
  <si>
    <t>Post modeli: title, slug (unique+index), summary, content (Text), cover_image_url, tags, status, published_at, reading_time</t>
  </si>
  <si>
    <t>22.08.2026 Cmt</t>
  </si>
  <si>
    <t>Faz 3</t>
  </si>
  <si>
    <t>4.2</t>
  </si>
  <si>
    <t>PostCreate/Update/Read şemaları; python-slugify ile Türkçe karakter → ASCII slug</t>
  </si>
  <si>
    <t>4.3</t>
  </si>
  <si>
    <t>PostRepository: slug ile getir, sadece published listele, tag filtresi, published_at DESC sırala</t>
  </si>
  <si>
    <t>4.4</t>
  </si>
  <si>
    <t>/api/v1/posts endpoint'leri: public list (published), public get-by-slug, admin CRUD</t>
  </si>
  <si>
    <t>23.08.2026 Paz</t>
  </si>
  <si>
    <t>4.5</t>
  </si>
  <si>
    <t>Alembic migration + test_posts.py (draft'ın public listede görünmediğini de test et)</t>
  </si>
  <si>
    <t>4.K</t>
  </si>
  <si>
    <t>KARAR: markdown backend'de HTML'e çevrilmeyecek — ham dönülüp frontend render edecek</t>
  </si>
  <si>
    <t>Faz 5 — Admin Auth (JWT)</t>
  </si>
  <si>
    <t>5.1</t>
  </si>
  <si>
    <t>User modeli: email (unique), hashed_password, is_active, is_admin + migration</t>
  </si>
  <si>
    <t>24.08.2026 Pzt</t>
  </si>
  <si>
    <t>Taslak var (models/user.py) ama table=True değil, hashed_password/is_active/is_admin yok.</t>
  </si>
  <si>
    <t>5.2</t>
  </si>
  <si>
    <t>core/security.py: pwdlib[argon2] ile hash/verify + PyJWT ile access token üret/çöz</t>
  </si>
  <si>
    <t>core/security.py şu an boş (0 bayt).</t>
  </si>
  <si>
    <t>5.3</t>
  </si>
  <si>
    <t>POST /api/v1/auth/login (OAuth2PasswordRequestForm) → access token; GET /auth/me</t>
  </si>
  <si>
    <t>5.4</t>
  </si>
  <si>
    <t>dependencies.py → get_current_admin: OAuth2PasswordBearer + token doğrulama + 401/403</t>
  </si>
  <si>
    <t>25.08.2026 Sal</t>
  </si>
  <si>
    <t>5.5</t>
  </si>
  <si>
    <t>Projects ve Posts'un tüm POST/PUT/PATCH/DELETE endpoint'lerini Depends(get_current_admin) ile koru</t>
  </si>
  <si>
    <t>5.6</t>
  </si>
  <si>
    <t>scripts/create_admin.py — env'den admin oluşturur. Public register endpoint'i AÇMA</t>
  </si>
  <si>
    <t>5.7</t>
  </si>
  <si>
    <t>test_auth.py: token'sız yazma→401, geçersiz/süresi dolmuş token→401, geçerli token→200</t>
  </si>
  <si>
    <t>Faz 6 — Medya + İletişim</t>
  </si>
  <si>
    <t>6.1</t>
  </si>
  <si>
    <t>imagekitio'yu SÜRÜM PİNLEYEREK ekle (v5.x yeni API!); IMAGEKIT_* ayarlarını Settings'e ekle</t>
  </si>
  <si>
    <t>26.08.2026 Çar</t>
  </si>
  <si>
    <t>Faz 5</t>
  </si>
  <si>
    <t>Kısmen: imagekitio==5.9.0 pinli. IMAGEKIT_* ayarları Settings'te yok.</t>
  </si>
  <si>
    <t>6.2</t>
  </si>
  <si>
    <t>services/media_service.py: MIME + boyut doğrulama (maks 5MB; jpeg/png/webp), ImageKit upload, url+file_id kaydet</t>
  </si>
  <si>
    <t>6.3</t>
  </si>
  <si>
    <t>POST /api/v1/media/upload (admin-only) + DELETE /api/v1/media/{file_id}</t>
  </si>
  <si>
    <t>6.4</t>
  </si>
  <si>
    <t>ContactMessage modeli (name, email, subject, message, ip, is_read) + migration</t>
  </si>
  <si>
    <t>27.08.2026 Per</t>
  </si>
  <si>
    <t>6.5</t>
  </si>
  <si>
    <t>POST /api/v1/contact: EmailStr doğrulama, honeypot alanı, slowapi ile IP başına 3/saat rate limit</t>
  </si>
  <si>
    <t>6.6</t>
  </si>
  <si>
    <t>E-posta bildirimi (fastapi-mail/Resend) — BackgroundTasks ile. SIKIŞIRSAN İLK BU KESİLİR</t>
  </si>
  <si>
    <t>6.7</t>
  </si>
  <si>
    <t>GET /api/v1/contact — admin-only mesaj listesi</t>
  </si>
  <si>
    <t>Faz 7 — Docker + Droplet</t>
  </si>
  <si>
    <t>7.1</t>
  </si>
  <si>
    <t>Multi-stage Dockerfile: builder + python:3.12-slim runtime, non-root user, katman önbelleği</t>
  </si>
  <si>
    <t>28.08.2026 Cum</t>
  </si>
  <si>
    <t>Faz 6</t>
  </si>
  <si>
    <t>B-22</t>
  </si>
  <si>
    <t>Yapılmadı: Dockerfile yok.</t>
  </si>
  <si>
    <t>7.2</t>
  </si>
  <si>
    <t>docker-compose.yml: api + db (postgres, named volume) + caddy reverse proxy</t>
  </si>
  <si>
    <t>7.3</t>
  </si>
  <si>
    <t>Entrypoint script: konteyner başlarken alembic upgrade head çalıştır</t>
  </si>
  <si>
    <t>7.4</t>
  </si>
  <si>
    <t>GET /health (DB ping dahil) + JSON structured logging + request-id middleware</t>
  </si>
  <si>
    <t>29.08.2026 Cmt</t>
  </si>
  <si>
    <t>B-13</t>
  </si>
  <si>
    <t>7.5</t>
  </si>
  <si>
    <t>Droplet hazırlığı: Docker + Compose, ufw (22/80/443), swap, non-root deploy user, SSH key auth</t>
  </si>
  <si>
    <t>7.6</t>
  </si>
  <si>
    <t>Domain yönlendirme + Caddy ile otomatik Let's Encrypt HTTPS</t>
  </si>
  <si>
    <t>7.7</t>
  </si>
  <si>
    <t>CORS_ORIGINS'i gerçek frontend domain'ine ayarla; production'da /docs + /redoc'u kapat veya koru</t>
  </si>
  <si>
    <t>30.08.2026 Paz</t>
  </si>
  <si>
    <t>7.8</t>
  </si>
  <si>
    <t>Günlük pg_dump yedeği (cron, 7 gün saklama) + geri yüklemeyi bir kez dene</t>
  </si>
  <si>
    <t>7.K</t>
  </si>
  <si>
    <t>KRİTİK: .env dosyasını droplet'e git ile DEĞİL, scp ile taşı</t>
  </si>
  <si>
    <t>Faz 8 — Kapanış</t>
  </si>
  <si>
    <t>8.1</t>
  </si>
  <si>
    <t>GitHub Actions: her push'ta pytest + ruff check</t>
  </si>
  <si>
    <t>31.08.2026 Pzt</t>
  </si>
  <si>
    <t>Faz 2</t>
  </si>
  <si>
    <t>8.2</t>
  </si>
  <si>
    <t>Frontend'i canlı API'ye bağla; uçtan uca smoke test (projeler, blog, login, upload, iletişim)</t>
  </si>
  <si>
    <t>Faz 7</t>
  </si>
  <si>
    <t>8.3</t>
  </si>
  <si>
    <t>README + .env.example son hali; /docs endpoint açıklamalarını gözden geçir</t>
  </si>
  <si>
    <t>8.4</t>
  </si>
  <si>
    <t>8 başarı kriterini tek tek doğrula ve işaretle</t>
  </si>
  <si>
    <t>Personal Portfolio Backend — İlerleme Özeti</t>
  </si>
  <si>
    <t>Plan tarihi: 18.08.2026  ·  Süre: 14 gün (18–31 Ağustos 2026)</t>
  </si>
  <si>
    <t>Görev Takibi sekmesindeki "Yapıldı mı?" sütununa ✓ girdikçe bu tablo kendini günceller.</t>
  </si>
  <si>
    <t>Biten</t>
  </si>
  <si>
    <t>Toplam efor (sa)</t>
  </si>
  <si>
    <t>Biten efor (sa)</t>
  </si>
  <si>
    <t>İlerleme</t>
  </si>
  <si>
    <t>TOPLAM</t>
  </si>
  <si>
    <t>Kesme sırası (takvim sıkışırsa):</t>
  </si>
  <si>
    <t>1) 6.6 e-posta bildirimi  →  2) 8.1 GitHub Actions  →  3) 7.8 yedekleme cron'u (manuel pg_dump mutlaka al)</t>
  </si>
  <si>
    <t>Kod</t>
  </si>
  <si>
    <t>Öncelik</t>
  </si>
  <si>
    <t>Dosya</t>
  </si>
  <si>
    <t>Bulgu</t>
  </si>
  <si>
    <t>Çözüldüğü görev</t>
  </si>
  <si>
    <t>Çözüldü mü?</t>
  </si>
  <si>
    <t>Blocker</t>
  </si>
  <si>
    <t>app/core/security.py, app/api/v1/projects.py</t>
  </si>
  <si>
    <t>Yazma endpoint'leri tamamen korumasız; security.py yorum satırı + debug print içeriyor; yorumdaki verify_password düz metin karşılaştırıyor</t>
  </si>
  <si>
    <t>0.6, Faz 5</t>
  </si>
  <si>
    <t>requirements.txt</t>
  </si>
  <si>
    <t>aiosqltite yazım hatası → pip install çalışmıyor; pydantic-settings ve greenlet eksik; databases gereksiz; sürüm pinlenmemiş</t>
  </si>
  <si>
    <t>.gitignore</t>
  </si>
  <si>
    <t>myvenv/, dev.db, v1_db.db git takibinde; .gitignore sadece .env ve __pycache__ kapsıyor</t>
  </si>
  <si>
    <t>0.1, 0.2</t>
  </si>
  <si>
    <t>B-04</t>
  </si>
  <si>
    <t>Yüksek</t>
  </si>
  <si>
    <t>app/api/v1/projects.py, app/schemas/project.py</t>
  </si>
  <si>
    <t>POST body ProjectBase → id zorunlu (422) ve client primary key belirleyebiliyor (id=99 ile 200 döndü). ProjectCreate hiç kullanılmıyor ve slug içermiyor</t>
  </si>
  <si>
    <t>app/api/v1/projects.py</t>
  </si>
  <si>
    <t>response_model olarak SQLModel table model kullanılıyor → ileride hashed_password gibi alanlar API'ye sızabilir</t>
  </si>
  <si>
    <t>app/db.py</t>
  </si>
  <si>
    <t>Migration yok; create_all var olan tabloya kolon eklemez → yeni alan sessizce uygulanmaz</t>
  </si>
  <si>
    <t>3.1, 3.2</t>
  </si>
  <si>
    <t>B-07</t>
  </si>
  <si>
    <t>app/api/v1/projects.py, app/repositories/base.py</t>
  </si>
  <si>
    <t>UPDATE/DELETE endpoint'i yok; update tüm alanları yazıyor → partial update imkânsız</t>
  </si>
  <si>
    <t>1.6, 1.7</t>
  </si>
  <si>
    <t>db_dependency'de rollback/hata yönetimi yok</t>
  </si>
  <si>
    <t>B-09</t>
  </si>
  <si>
    <t>Orta</t>
  </si>
  <si>
    <t>app/repositories/base.py</t>
  </si>
  <si>
    <t>get_by_slug base'e ait değil; self.model.slug slug'sız modellerde AttributeError</t>
  </si>
  <si>
    <t>B-10</t>
  </si>
  <si>
    <t>app/models/base.py</t>
  </si>
  <si>
    <t>BaseModel her modele name alanını zorunlu kılıyor — domain kararı değil, kolaylık kararı</t>
  </si>
  <si>
    <t>B-11</t>
  </si>
  <si>
    <t>updated_at alanı yok — blogda 'son güncelleme' gerekecek</t>
  </si>
  <si>
    <t>B-12</t>
  </si>
  <si>
    <t>app/schemas/project.py</t>
  </si>
  <si>
    <t>liveDemo modelde var ama ProjectBase şemasında yok → API'den doldurulamıyor</t>
  </si>
  <si>
    <t>dependencies/exceptions/middleware/router.py</t>
  </si>
  <si>
    <t>Boş (0 byte) stub dosyalar; router aggregation kullanılmıyor; logging.py tek satır</t>
  </si>
  <si>
    <t>1.1, 7.4</t>
  </si>
  <si>
    <t>tests/</t>
  </si>
  <si>
    <t>Test yok, tests/ klasörü bile mevcut değil</t>
  </si>
  <si>
    <t>2.1, 2.2, 5.7</t>
  </si>
  <si>
    <t>app/main.py</t>
  </si>
  <si>
    <t>CORS origin'leri hardcoded localhost — droplet'te frontend çalışmaz</t>
  </si>
  <si>
    <t>0.4, 7.7</t>
  </si>
  <si>
    <t>app/models/project.py</t>
  </si>
  <si>
    <t>techStack/githubLink/liveDemo camelCase — PEP 8'e aykırı; alias_generator ile çözülmeli</t>
  </si>
  <si>
    <t>B-17</t>
  </si>
  <si>
    <t>Düşük</t>
  </si>
  <si>
    <t>README.md</t>
  </si>
  <si>
    <t>UTF-16 kodlanmış, ağaç karakterleri bozuk; hâlâ users/orders örneğini anlatıyor</t>
  </si>
  <si>
    <t>.env.example yok — projeyi başka makinede kurmak için hangi değişkenler gerektiği belirsiz</t>
  </si>
  <si>
    <t>B-19</t>
  </si>
  <si>
    <t>app/api/__init__.py</t>
  </si>
  <si>
    <t>from .v1 import * — wildcard import</t>
  </si>
  <si>
    <t>B-20</t>
  </si>
  <si>
    <t>app/models/readme.md, app/schemas/readme.md</t>
  </si>
  <si>
    <t>Var olmayan blog.py'yi anlatıyor</t>
  </si>
  <si>
    <t>B-21</t>
  </si>
  <si>
    <t>get_all limiti 1000 sabit; sayfalama metadata'sı (total/page) yok</t>
  </si>
  <si>
    <t>Yerel Python 3.14 çok yeni; Docker imajında 3.12 gibi oturmuş sürüm tercih edilmeli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</si>
</sst>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2"/>
      <color rgb="FF107C10"/>
      <name val="Arial"/>
      <charset val="1"/>
    </font>
    <font>
      <b/>
      <sz val="14"/>
      <color rgb="FF1F3864"/>
      <name val="Arial"/>
      <charset val="1"/>
    </font>
    <font>
      <i/>
      <sz val="10"/>
      <color rgb="FF595959"/>
      <name val="Arial"/>
      <charset val="1"/>
    </font>
    <font>
      <i/>
      <sz val="9"/>
      <color rgb="FF808080"/>
      <name val="Arial"/>
      <charset val="1"/>
    </font>
    <font>
      <b/>
      <sz val="10"/>
      <color rgb="FFC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8E8E8"/>
      </patternFill>
    </fill>
    <fill>
      <patternFill patternType="solid">
        <fgColor rgb="FFFFC7CE"/>
        <bgColor rgb="FFFFD9A0"/>
      </patternFill>
    </fill>
    <fill>
      <patternFill patternType="solid">
        <fgColor rgb="FFFFD9A0"/>
        <bgColor rgb="FFFFC7CE"/>
      </patternFill>
    </fill>
    <fill>
      <patternFill patternType="solid">
        <fgColor rgb="FFFFF2CC"/>
        <bgColor rgb="FFE8E8E8"/>
      </patternFill>
    </fill>
    <fill>
      <patternFill patternType="solid">
        <fgColor rgb="FFE8E8E8"/>
        <b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2" fontId="3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9" fontId="2" fillId="3" borderId="1" xfId="0" applyNumberFormat="1" applyFont="1" applyFill="1" applyBorder="1" applyAlignment="1">
      <alignment horizontal="center"/>
    </xf>
    <xf numFmtId="0" fontId="8" fillId="0" borderId="0" xfId="0" applyFont="1"/>
    <xf numFmtId="0" fontId="3" fillId="0" borderId="0" xfId="0" applyFont="1"/>
    <xf numFmtId="0" fontId="2" fillId="0" borderId="1" xfId="0" applyFont="1" applyBorder="1" applyAlignment="1">
      <alignment vertical="top"/>
    </xf>
    <xf numFmtId="0" fontId="3" fillId="4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center" vertical="top"/>
    </xf>
    <xf numFmtId="0" fontId="3" fillId="7" borderId="1" xfId="0" applyFont="1" applyFill="1" applyBorder="1" applyAlignment="1">
      <alignment horizontal="center" vertical="top"/>
    </xf>
  </cellXfs>
  <cellStyles count="1">
    <cellStyle name="Normal" xfId="0" builtinId="0"/>
  </cellStyles>
  <dxfs count="2">
    <dxf>
      <fill>
        <patternFill>
          <bgColor rgb="FFD5EFD5"/>
        </patternFill>
      </fill>
    </dxf>
    <dxf>
      <fill>
        <patternFill>
          <bgColor rgb="FFD5EFD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07C1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E8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FD5"/>
      <rgbColor rgb="FFFFFF99"/>
      <rgbColor rgb="FF99CCFF"/>
      <rgbColor rgb="FFFFC7CE"/>
      <rgbColor rgb="FFCC99FF"/>
      <rgbColor rgb="FFFFD9A0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"/>
  <sheetViews>
    <sheetView tabSelected="1" zoomScaleNormal="100" workbookViewId="0">
      <pane xSplit="2" ySplit="1" topLeftCell="C13" activePane="bottomRight" state="frozen"/>
      <selection pane="topRight" activeCell="C1" sqref="C1"/>
      <selection pane="bottomLeft" activeCell="A2" sqref="A2"/>
      <selection pane="bottomRight" activeCell="C47" sqref="C47"/>
    </sheetView>
  </sheetViews>
  <sheetFormatPr defaultColWidth="8.7109375" defaultRowHeight="15" x14ac:dyDescent="0.25"/>
  <cols>
    <col min="1" max="1" width="26" customWidth="1"/>
    <col min="2" max="2" width="6" customWidth="1"/>
    <col min="3" max="3" width="78" customWidth="1"/>
    <col min="4" max="4" width="6" customWidth="1"/>
    <col min="5" max="5" width="16" customWidth="1"/>
    <col min="6" max="6" width="9" customWidth="1"/>
    <col min="7" max="7" width="12" customWidth="1"/>
    <col min="8" max="8" width="14" customWidth="1"/>
    <col min="9" max="9" width="11" customWidth="1"/>
    <col min="10" max="10" width="26" customWidth="1"/>
  </cols>
  <sheetData>
    <row r="1" spans="1:10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5.5" customHeight="1" x14ac:dyDescent="0.25">
      <c r="A2" s="2" t="s">
        <v>10</v>
      </c>
      <c r="B2" s="3" t="s">
        <v>11</v>
      </c>
      <c r="C2" s="4" t="s">
        <v>12</v>
      </c>
      <c r="D2" s="3">
        <v>1</v>
      </c>
      <c r="E2" s="5" t="s">
        <v>13</v>
      </c>
      <c r="F2" s="6">
        <v>0.33</v>
      </c>
      <c r="G2" s="5" t="s">
        <v>14</v>
      </c>
      <c r="H2" s="5" t="s">
        <v>15</v>
      </c>
      <c r="I2" s="7" t="s">
        <v>16</v>
      </c>
      <c r="J2" s="4"/>
    </row>
    <row r="3" spans="1:10" ht="15.75" customHeight="1" x14ac:dyDescent="0.25">
      <c r="A3" s="2" t="s">
        <v>10</v>
      </c>
      <c r="B3" s="3" t="s">
        <v>17</v>
      </c>
      <c r="C3" s="4" t="s">
        <v>18</v>
      </c>
      <c r="D3" s="3">
        <v>1</v>
      </c>
      <c r="E3" s="5" t="s">
        <v>13</v>
      </c>
      <c r="F3" s="6">
        <v>0.33</v>
      </c>
      <c r="G3" s="5" t="s">
        <v>11</v>
      </c>
      <c r="H3" s="5" t="s">
        <v>15</v>
      </c>
      <c r="I3" s="7" t="s">
        <v>16</v>
      </c>
      <c r="J3" s="4" t="s">
        <v>19</v>
      </c>
    </row>
    <row r="4" spans="1:10" ht="25.5" customHeight="1" x14ac:dyDescent="0.25">
      <c r="A4" s="2" t="s">
        <v>10</v>
      </c>
      <c r="B4" s="3" t="s">
        <v>20</v>
      </c>
      <c r="C4" s="4" t="s">
        <v>21</v>
      </c>
      <c r="D4" s="3">
        <v>1</v>
      </c>
      <c r="E4" s="5" t="s">
        <v>13</v>
      </c>
      <c r="F4" s="6">
        <v>0.75</v>
      </c>
      <c r="G4" s="5" t="s">
        <v>14</v>
      </c>
      <c r="H4" s="5" t="s">
        <v>22</v>
      </c>
      <c r="I4" s="7" t="s">
        <v>16</v>
      </c>
      <c r="J4" s="4" t="s">
        <v>23</v>
      </c>
    </row>
    <row r="5" spans="1:10" ht="25.5" customHeight="1" x14ac:dyDescent="0.25">
      <c r="A5" s="2" t="s">
        <v>10</v>
      </c>
      <c r="B5" s="3" t="s">
        <v>24</v>
      </c>
      <c r="C5" s="4" t="s">
        <v>25</v>
      </c>
      <c r="D5" s="3">
        <v>1</v>
      </c>
      <c r="E5" s="5" t="s">
        <v>13</v>
      </c>
      <c r="F5" s="6">
        <v>0.75</v>
      </c>
      <c r="G5" s="5" t="s">
        <v>20</v>
      </c>
      <c r="H5" s="5" t="s">
        <v>26</v>
      </c>
      <c r="I5" s="7" t="s">
        <v>16</v>
      </c>
      <c r="J5" s="4"/>
    </row>
    <row r="6" spans="1:10" ht="15.75" customHeight="1" x14ac:dyDescent="0.25">
      <c r="A6" s="2" t="s">
        <v>10</v>
      </c>
      <c r="B6" s="3" t="s">
        <v>27</v>
      </c>
      <c r="C6" s="4" t="s">
        <v>28</v>
      </c>
      <c r="D6" s="3">
        <v>1</v>
      </c>
      <c r="E6" s="5" t="s">
        <v>13</v>
      </c>
      <c r="F6" s="6">
        <v>0.33</v>
      </c>
      <c r="G6" s="5" t="s">
        <v>24</v>
      </c>
      <c r="H6" s="5" t="s">
        <v>29</v>
      </c>
      <c r="I6" s="7" t="s">
        <v>16</v>
      </c>
      <c r="J6" s="4"/>
    </row>
    <row r="7" spans="1:10" ht="15.75" customHeight="1" x14ac:dyDescent="0.25">
      <c r="A7" s="2" t="s">
        <v>10</v>
      </c>
      <c r="B7" s="3" t="s">
        <v>30</v>
      </c>
      <c r="C7" s="4" t="s">
        <v>31</v>
      </c>
      <c r="D7" s="3">
        <v>1</v>
      </c>
      <c r="E7" s="5" t="s">
        <v>13</v>
      </c>
      <c r="F7" s="6">
        <v>0.17</v>
      </c>
      <c r="G7" s="5" t="s">
        <v>14</v>
      </c>
      <c r="H7" s="5" t="s">
        <v>32</v>
      </c>
      <c r="I7" s="7" t="s">
        <v>16</v>
      </c>
      <c r="J7" s="4"/>
    </row>
    <row r="8" spans="1:10" ht="25.5" customHeight="1" x14ac:dyDescent="0.25">
      <c r="A8" s="2" t="s">
        <v>10</v>
      </c>
      <c r="B8" s="3" t="s">
        <v>33</v>
      </c>
      <c r="C8" s="4" t="s">
        <v>34</v>
      </c>
      <c r="D8" s="3">
        <v>1</v>
      </c>
      <c r="E8" s="5" t="s">
        <v>13</v>
      </c>
      <c r="F8" s="6">
        <v>0.75</v>
      </c>
      <c r="G8" s="5" t="s">
        <v>14</v>
      </c>
      <c r="H8" s="5" t="s">
        <v>35</v>
      </c>
      <c r="I8" s="7" t="s">
        <v>16</v>
      </c>
      <c r="J8" s="4"/>
    </row>
    <row r="9" spans="1:10" ht="15.75" customHeight="1" x14ac:dyDescent="0.25">
      <c r="A9" s="2" t="s">
        <v>10</v>
      </c>
      <c r="B9" s="3" t="s">
        <v>36</v>
      </c>
      <c r="C9" s="4" t="s">
        <v>37</v>
      </c>
      <c r="D9" s="3">
        <v>1</v>
      </c>
      <c r="E9" s="5" t="s">
        <v>13</v>
      </c>
      <c r="F9" s="6">
        <v>0.17</v>
      </c>
      <c r="G9" s="5" t="s">
        <v>14</v>
      </c>
      <c r="H9" s="5" t="s">
        <v>14</v>
      </c>
      <c r="I9" s="7" t="s">
        <v>16</v>
      </c>
      <c r="J9" s="4"/>
    </row>
    <row r="10" spans="1:10" ht="15.75" customHeight="1" x14ac:dyDescent="0.25">
      <c r="A10" s="2" t="s">
        <v>10</v>
      </c>
      <c r="B10" s="3" t="s">
        <v>38</v>
      </c>
      <c r="C10" s="4" t="s">
        <v>39</v>
      </c>
      <c r="D10" s="3">
        <v>1</v>
      </c>
      <c r="E10" s="5" t="s">
        <v>13</v>
      </c>
      <c r="F10" s="6">
        <v>0.25</v>
      </c>
      <c r="G10" s="5" t="s">
        <v>20</v>
      </c>
      <c r="H10" s="5" t="s">
        <v>14</v>
      </c>
      <c r="I10" s="7" t="s">
        <v>16</v>
      </c>
      <c r="J10" s="4"/>
    </row>
    <row r="11" spans="1:10" ht="25.5" customHeight="1" x14ac:dyDescent="0.25">
      <c r="A11" s="2" t="s">
        <v>40</v>
      </c>
      <c r="B11" s="3" t="s">
        <v>41</v>
      </c>
      <c r="C11" s="4" t="s">
        <v>42</v>
      </c>
      <c r="D11" s="3">
        <v>2</v>
      </c>
      <c r="E11" s="5" t="s">
        <v>43</v>
      </c>
      <c r="F11" s="6">
        <v>0.75</v>
      </c>
      <c r="G11" s="5" t="s">
        <v>44</v>
      </c>
      <c r="H11" s="5" t="s">
        <v>45</v>
      </c>
      <c r="I11" s="7" t="s">
        <v>16</v>
      </c>
      <c r="J11" s="4"/>
    </row>
    <row r="12" spans="1:10" ht="25.5" customHeight="1" x14ac:dyDescent="0.25">
      <c r="A12" s="2" t="s">
        <v>40</v>
      </c>
      <c r="B12" s="3" t="s">
        <v>46</v>
      </c>
      <c r="C12" s="4" t="s">
        <v>47</v>
      </c>
      <c r="D12" s="3">
        <v>2</v>
      </c>
      <c r="E12" s="5" t="s">
        <v>43</v>
      </c>
      <c r="F12" s="6">
        <v>1.5</v>
      </c>
      <c r="G12" s="5" t="s">
        <v>41</v>
      </c>
      <c r="H12" s="5" t="s">
        <v>48</v>
      </c>
      <c r="I12" s="7" t="s">
        <v>16</v>
      </c>
      <c r="J12" s="4"/>
    </row>
    <row r="13" spans="1:10" ht="15.75" customHeight="1" x14ac:dyDescent="0.25">
      <c r="A13" s="2" t="s">
        <v>40</v>
      </c>
      <c r="B13" s="3" t="s">
        <v>49</v>
      </c>
      <c r="C13" s="4" t="s">
        <v>50</v>
      </c>
      <c r="D13" s="3">
        <v>2</v>
      </c>
      <c r="E13" s="5" t="s">
        <v>43</v>
      </c>
      <c r="F13" s="6">
        <v>0.5</v>
      </c>
      <c r="G13" s="5" t="s">
        <v>46</v>
      </c>
      <c r="H13" s="5" t="s">
        <v>51</v>
      </c>
      <c r="I13" s="7" t="s">
        <v>16</v>
      </c>
      <c r="J13" s="4" t="s">
        <v>52</v>
      </c>
    </row>
    <row r="14" spans="1:10" ht="15.75" customHeight="1" x14ac:dyDescent="0.25">
      <c r="A14" s="2" t="s">
        <v>40</v>
      </c>
      <c r="B14" s="3" t="s">
        <v>53</v>
      </c>
      <c r="C14" s="4" t="s">
        <v>54</v>
      </c>
      <c r="D14" s="3">
        <v>2</v>
      </c>
      <c r="E14" s="5" t="s">
        <v>43</v>
      </c>
      <c r="F14" s="6">
        <v>1.5</v>
      </c>
      <c r="G14" s="5" t="s">
        <v>46</v>
      </c>
      <c r="H14" s="5" t="s">
        <v>55</v>
      </c>
      <c r="I14" s="7" t="s">
        <v>16</v>
      </c>
      <c r="J14" s="4"/>
    </row>
    <row r="15" spans="1:10" ht="25.5" customHeight="1" x14ac:dyDescent="0.25">
      <c r="A15" s="2" t="s">
        <v>40</v>
      </c>
      <c r="B15" s="3" t="s">
        <v>56</v>
      </c>
      <c r="C15" s="4" t="s">
        <v>57</v>
      </c>
      <c r="D15" s="3">
        <v>3</v>
      </c>
      <c r="E15" s="5" t="s">
        <v>58</v>
      </c>
      <c r="F15" s="6">
        <v>0.75</v>
      </c>
      <c r="G15" s="5" t="s">
        <v>46</v>
      </c>
      <c r="H15" s="5" t="s">
        <v>59</v>
      </c>
      <c r="I15" s="7" t="s">
        <v>16</v>
      </c>
      <c r="J15" s="4"/>
    </row>
    <row r="16" spans="1:10" ht="15.75" customHeight="1" x14ac:dyDescent="0.25">
      <c r="A16" s="2" t="s">
        <v>40</v>
      </c>
      <c r="B16" s="3" t="s">
        <v>60</v>
      </c>
      <c r="C16" s="4" t="s">
        <v>61</v>
      </c>
      <c r="D16" s="3">
        <v>3</v>
      </c>
      <c r="E16" s="5" t="s">
        <v>58</v>
      </c>
      <c r="F16" s="6">
        <v>1</v>
      </c>
      <c r="G16" s="5" t="s">
        <v>56</v>
      </c>
      <c r="H16" s="5" t="s">
        <v>62</v>
      </c>
      <c r="I16" s="7" t="s">
        <v>16</v>
      </c>
      <c r="J16" s="4" t="s">
        <v>63</v>
      </c>
    </row>
    <row r="17" spans="1:10" ht="15.75" customHeight="1" x14ac:dyDescent="0.25">
      <c r="A17" s="2" t="s">
        <v>40</v>
      </c>
      <c r="B17" s="3" t="s">
        <v>64</v>
      </c>
      <c r="C17" s="4" t="s">
        <v>65</v>
      </c>
      <c r="D17" s="3">
        <v>3</v>
      </c>
      <c r="E17" s="5" t="s">
        <v>58</v>
      </c>
      <c r="F17" s="6">
        <v>1.5</v>
      </c>
      <c r="G17" s="5" t="s">
        <v>60</v>
      </c>
      <c r="H17" s="5" t="s">
        <v>66</v>
      </c>
      <c r="I17" s="7" t="s">
        <v>16</v>
      </c>
      <c r="J17" s="4" t="s">
        <v>67</v>
      </c>
    </row>
    <row r="18" spans="1:10" ht="15.75" customHeight="1" x14ac:dyDescent="0.25">
      <c r="A18" s="2" t="s">
        <v>40</v>
      </c>
      <c r="B18" s="3" t="s">
        <v>68</v>
      </c>
      <c r="C18" s="4" t="s">
        <v>69</v>
      </c>
      <c r="D18" s="3">
        <v>3</v>
      </c>
      <c r="E18" s="5" t="s">
        <v>58</v>
      </c>
      <c r="F18" s="6">
        <v>0.33</v>
      </c>
      <c r="G18" s="5" t="s">
        <v>14</v>
      </c>
      <c r="H18" s="5" t="s">
        <v>70</v>
      </c>
      <c r="I18" s="7" t="s">
        <v>16</v>
      </c>
      <c r="J18" s="4" t="s">
        <v>71</v>
      </c>
    </row>
    <row r="19" spans="1:10" ht="15.75" customHeight="1" x14ac:dyDescent="0.25">
      <c r="A19" s="2" t="s">
        <v>40</v>
      </c>
      <c r="B19" s="3" t="s">
        <v>72</v>
      </c>
      <c r="C19" s="4" t="s">
        <v>73</v>
      </c>
      <c r="D19" s="3">
        <v>3</v>
      </c>
      <c r="E19" s="5" t="s">
        <v>58</v>
      </c>
      <c r="F19" s="6">
        <v>0.25</v>
      </c>
      <c r="G19" s="5" t="s">
        <v>64</v>
      </c>
      <c r="H19" s="5" t="s">
        <v>14</v>
      </c>
      <c r="I19" s="7" t="s">
        <v>16</v>
      </c>
      <c r="J19" s="4" t="s">
        <v>74</v>
      </c>
    </row>
    <row r="20" spans="1:10" ht="25.5" customHeight="1" x14ac:dyDescent="0.25">
      <c r="A20" s="2" t="s">
        <v>75</v>
      </c>
      <c r="B20" s="3" t="s">
        <v>76</v>
      </c>
      <c r="C20" s="4" t="s">
        <v>77</v>
      </c>
      <c r="D20" s="3">
        <v>3</v>
      </c>
      <c r="E20" s="5" t="s">
        <v>58</v>
      </c>
      <c r="F20" s="6">
        <v>2</v>
      </c>
      <c r="G20" s="5" t="s">
        <v>78</v>
      </c>
      <c r="H20" s="5" t="s">
        <v>79</v>
      </c>
      <c r="I20" s="7"/>
      <c r="J20" s="4" t="s">
        <v>80</v>
      </c>
    </row>
    <row r="21" spans="1:10" ht="15.75" customHeight="1" x14ac:dyDescent="0.25">
      <c r="A21" s="2" t="s">
        <v>75</v>
      </c>
      <c r="B21" s="3" t="s">
        <v>81</v>
      </c>
      <c r="C21" s="4" t="s">
        <v>82</v>
      </c>
      <c r="D21" s="3">
        <v>3</v>
      </c>
      <c r="E21" s="5" t="s">
        <v>58</v>
      </c>
      <c r="F21" s="6">
        <v>2</v>
      </c>
      <c r="G21" s="5" t="s">
        <v>76</v>
      </c>
      <c r="H21" s="5" t="s">
        <v>79</v>
      </c>
      <c r="I21" s="7"/>
      <c r="J21" s="4"/>
    </row>
    <row r="22" spans="1:10" ht="15.75" customHeight="1" x14ac:dyDescent="0.25">
      <c r="A22" s="2" t="s">
        <v>75</v>
      </c>
      <c r="B22" s="3" t="s">
        <v>83</v>
      </c>
      <c r="C22" s="4" t="s">
        <v>84</v>
      </c>
      <c r="D22" s="3">
        <v>3</v>
      </c>
      <c r="E22" s="5" t="s">
        <v>58</v>
      </c>
      <c r="F22" s="6">
        <v>0.25</v>
      </c>
      <c r="G22" s="5" t="s">
        <v>81</v>
      </c>
      <c r="H22" s="5" t="s">
        <v>14</v>
      </c>
      <c r="I22" s="7"/>
      <c r="J22" s="4"/>
    </row>
    <row r="23" spans="1:10" ht="25.5" customHeight="1" x14ac:dyDescent="0.25">
      <c r="A23" s="2" t="s">
        <v>85</v>
      </c>
      <c r="B23" s="3" t="s">
        <v>86</v>
      </c>
      <c r="C23" s="4" t="s">
        <v>87</v>
      </c>
      <c r="D23" s="3">
        <v>4</v>
      </c>
      <c r="E23" s="5" t="s">
        <v>88</v>
      </c>
      <c r="F23" s="6">
        <v>1.5</v>
      </c>
      <c r="G23" s="5" t="s">
        <v>78</v>
      </c>
      <c r="H23" s="5" t="s">
        <v>89</v>
      </c>
      <c r="I23" s="7"/>
      <c r="J23" s="4" t="s">
        <v>90</v>
      </c>
    </row>
    <row r="24" spans="1:10" ht="15.75" customHeight="1" x14ac:dyDescent="0.25">
      <c r="A24" s="2" t="s">
        <v>85</v>
      </c>
      <c r="B24" s="3" t="s">
        <v>91</v>
      </c>
      <c r="C24" s="4" t="s">
        <v>92</v>
      </c>
      <c r="D24" s="3">
        <v>4</v>
      </c>
      <c r="E24" s="5" t="s">
        <v>88</v>
      </c>
      <c r="F24" s="6">
        <v>1</v>
      </c>
      <c r="G24" s="5" t="s">
        <v>86</v>
      </c>
      <c r="H24" s="5" t="s">
        <v>89</v>
      </c>
      <c r="I24" s="7"/>
      <c r="J24" s="4"/>
    </row>
    <row r="25" spans="1:10" ht="25.5" customHeight="1" x14ac:dyDescent="0.25">
      <c r="A25" s="2" t="s">
        <v>85</v>
      </c>
      <c r="B25" s="3" t="s">
        <v>93</v>
      </c>
      <c r="C25" s="4" t="s">
        <v>94</v>
      </c>
      <c r="D25" s="3">
        <v>4</v>
      </c>
      <c r="E25" s="5" t="s">
        <v>88</v>
      </c>
      <c r="F25" s="6">
        <v>1.5</v>
      </c>
      <c r="G25" s="5" t="s">
        <v>91</v>
      </c>
      <c r="H25" s="5" t="s">
        <v>14</v>
      </c>
      <c r="I25" s="7"/>
      <c r="J25" s="4"/>
    </row>
    <row r="26" spans="1:10" ht="15.75" customHeight="1" x14ac:dyDescent="0.25">
      <c r="A26" s="2" t="s">
        <v>85</v>
      </c>
      <c r="B26" s="3" t="s">
        <v>95</v>
      </c>
      <c r="C26" s="4" t="s">
        <v>96</v>
      </c>
      <c r="D26" s="3">
        <v>4</v>
      </c>
      <c r="E26" s="5" t="s">
        <v>88</v>
      </c>
      <c r="F26" s="6">
        <v>1</v>
      </c>
      <c r="G26" s="5" t="s">
        <v>93</v>
      </c>
      <c r="H26" s="5" t="s">
        <v>14</v>
      </c>
      <c r="I26" s="7"/>
      <c r="J26" s="4"/>
    </row>
    <row r="27" spans="1:10" ht="25.5" customHeight="1" x14ac:dyDescent="0.25">
      <c r="A27" s="2" t="s">
        <v>85</v>
      </c>
      <c r="B27" s="3" t="s">
        <v>97</v>
      </c>
      <c r="C27" s="4" t="s">
        <v>98</v>
      </c>
      <c r="D27" s="3">
        <v>4</v>
      </c>
      <c r="E27" s="5" t="s">
        <v>88</v>
      </c>
      <c r="F27" s="6">
        <v>0.25</v>
      </c>
      <c r="G27" s="5" t="s">
        <v>95</v>
      </c>
      <c r="H27" s="5" t="s">
        <v>14</v>
      </c>
      <c r="I27" s="7"/>
      <c r="J27" s="4"/>
    </row>
    <row r="28" spans="1:10" ht="25.5" customHeight="1" x14ac:dyDescent="0.25">
      <c r="A28" s="2" t="s">
        <v>99</v>
      </c>
      <c r="B28" s="3" t="s">
        <v>100</v>
      </c>
      <c r="C28" s="4" t="s">
        <v>101</v>
      </c>
      <c r="D28" s="3">
        <v>5</v>
      </c>
      <c r="E28" s="5" t="s">
        <v>102</v>
      </c>
      <c r="F28" s="6">
        <v>2</v>
      </c>
      <c r="G28" s="5" t="s">
        <v>103</v>
      </c>
      <c r="H28" s="5" t="s">
        <v>14</v>
      </c>
      <c r="I28" s="7"/>
      <c r="J28" s="4"/>
    </row>
    <row r="29" spans="1:10" ht="15.75" customHeight="1" x14ac:dyDescent="0.25">
      <c r="A29" s="2" t="s">
        <v>99</v>
      </c>
      <c r="B29" s="3" t="s">
        <v>104</v>
      </c>
      <c r="C29" s="4" t="s">
        <v>105</v>
      </c>
      <c r="D29" s="3">
        <v>5</v>
      </c>
      <c r="E29" s="5" t="s">
        <v>102</v>
      </c>
      <c r="F29" s="6">
        <v>1.5</v>
      </c>
      <c r="G29" s="5" t="s">
        <v>100</v>
      </c>
      <c r="H29" s="5" t="s">
        <v>14</v>
      </c>
      <c r="I29" s="7"/>
      <c r="J29" s="4"/>
    </row>
    <row r="30" spans="1:10" ht="25.5" customHeight="1" x14ac:dyDescent="0.25">
      <c r="A30" s="2" t="s">
        <v>99</v>
      </c>
      <c r="B30" s="3" t="s">
        <v>106</v>
      </c>
      <c r="C30" s="4" t="s">
        <v>107</v>
      </c>
      <c r="D30" s="3">
        <v>5</v>
      </c>
      <c r="E30" s="5" t="s">
        <v>102</v>
      </c>
      <c r="F30" s="6">
        <v>1.5</v>
      </c>
      <c r="G30" s="5" t="s">
        <v>104</v>
      </c>
      <c r="H30" s="5" t="s">
        <v>14</v>
      </c>
      <c r="I30" s="7"/>
      <c r="J30" s="4"/>
    </row>
    <row r="31" spans="1:10" ht="15.75" customHeight="1" x14ac:dyDescent="0.25">
      <c r="A31" s="2" t="s">
        <v>99</v>
      </c>
      <c r="B31" s="3" t="s">
        <v>108</v>
      </c>
      <c r="C31" s="4" t="s">
        <v>109</v>
      </c>
      <c r="D31" s="3">
        <v>6</v>
      </c>
      <c r="E31" s="5" t="s">
        <v>110</v>
      </c>
      <c r="F31" s="6">
        <v>2</v>
      </c>
      <c r="G31" s="5" t="s">
        <v>106</v>
      </c>
      <c r="H31" s="5" t="s">
        <v>14</v>
      </c>
      <c r="I31" s="7"/>
      <c r="J31" s="4"/>
    </row>
    <row r="32" spans="1:10" ht="15.75" customHeight="1" x14ac:dyDescent="0.25">
      <c r="A32" s="2" t="s">
        <v>99</v>
      </c>
      <c r="B32" s="3" t="s">
        <v>111</v>
      </c>
      <c r="C32" s="4" t="s">
        <v>112</v>
      </c>
      <c r="D32" s="3">
        <v>6</v>
      </c>
      <c r="E32" s="5" t="s">
        <v>110</v>
      </c>
      <c r="F32" s="6">
        <v>1</v>
      </c>
      <c r="G32" s="5" t="s">
        <v>108</v>
      </c>
      <c r="H32" s="5" t="s">
        <v>14</v>
      </c>
      <c r="I32" s="7"/>
      <c r="J32" s="4"/>
    </row>
    <row r="33" spans="1:10" ht="25.5" customHeight="1" x14ac:dyDescent="0.25">
      <c r="A33" s="2" t="s">
        <v>99</v>
      </c>
      <c r="B33" s="3" t="s">
        <v>113</v>
      </c>
      <c r="C33" s="4" t="s">
        <v>114</v>
      </c>
      <c r="D33" s="3">
        <v>6</v>
      </c>
      <c r="E33" s="5" t="s">
        <v>110</v>
      </c>
      <c r="F33" s="6">
        <v>0.25</v>
      </c>
      <c r="G33" s="5" t="s">
        <v>100</v>
      </c>
      <c r="H33" s="5" t="s">
        <v>14</v>
      </c>
      <c r="I33" s="7"/>
      <c r="J33" s="4"/>
    </row>
    <row r="34" spans="1:10" ht="15.75" customHeight="1" x14ac:dyDescent="0.25">
      <c r="A34" s="2" t="s">
        <v>115</v>
      </c>
      <c r="B34" s="3" t="s">
        <v>116</v>
      </c>
      <c r="C34" s="4" t="s">
        <v>117</v>
      </c>
      <c r="D34" s="3">
        <v>7</v>
      </c>
      <c r="E34" s="5" t="s">
        <v>118</v>
      </c>
      <c r="F34" s="6">
        <v>1</v>
      </c>
      <c r="G34" s="5" t="s">
        <v>103</v>
      </c>
      <c r="H34" s="5" t="s">
        <v>32</v>
      </c>
      <c r="I34" s="7"/>
      <c r="J34" s="4" t="s">
        <v>119</v>
      </c>
    </row>
    <row r="35" spans="1:10" ht="15.75" customHeight="1" x14ac:dyDescent="0.25">
      <c r="A35" s="2" t="s">
        <v>115</v>
      </c>
      <c r="B35" s="3" t="s">
        <v>120</v>
      </c>
      <c r="C35" s="4" t="s">
        <v>121</v>
      </c>
      <c r="D35" s="3">
        <v>7</v>
      </c>
      <c r="E35" s="5" t="s">
        <v>118</v>
      </c>
      <c r="F35" s="6">
        <v>2</v>
      </c>
      <c r="G35" s="5" t="s">
        <v>116</v>
      </c>
      <c r="H35" s="5" t="s">
        <v>32</v>
      </c>
      <c r="I35" s="7"/>
      <c r="J35" s="4" t="s">
        <v>122</v>
      </c>
    </row>
    <row r="36" spans="1:10" ht="15.75" customHeight="1" x14ac:dyDescent="0.25">
      <c r="A36" s="2" t="s">
        <v>115</v>
      </c>
      <c r="B36" s="3" t="s">
        <v>123</v>
      </c>
      <c r="C36" s="4" t="s">
        <v>124</v>
      </c>
      <c r="D36" s="3">
        <v>7</v>
      </c>
      <c r="E36" s="5" t="s">
        <v>118</v>
      </c>
      <c r="F36" s="6">
        <v>1.5</v>
      </c>
      <c r="G36" s="5" t="s">
        <v>120</v>
      </c>
      <c r="H36" s="5" t="s">
        <v>32</v>
      </c>
      <c r="I36" s="7"/>
      <c r="J36" s="4"/>
    </row>
    <row r="37" spans="1:10" ht="25.5" customHeight="1" x14ac:dyDescent="0.25">
      <c r="A37" s="2" t="s">
        <v>115</v>
      </c>
      <c r="B37" s="3" t="s">
        <v>125</v>
      </c>
      <c r="C37" s="4" t="s">
        <v>126</v>
      </c>
      <c r="D37" s="3">
        <v>8</v>
      </c>
      <c r="E37" s="5" t="s">
        <v>127</v>
      </c>
      <c r="F37" s="6">
        <v>1.5</v>
      </c>
      <c r="G37" s="5" t="s">
        <v>123</v>
      </c>
      <c r="H37" s="5" t="s">
        <v>32</v>
      </c>
      <c r="I37" s="7"/>
      <c r="J37" s="4"/>
    </row>
    <row r="38" spans="1:10" ht="25.5" customHeight="1" x14ac:dyDescent="0.25">
      <c r="A38" s="2" t="s">
        <v>115</v>
      </c>
      <c r="B38" s="3" t="s">
        <v>128</v>
      </c>
      <c r="C38" s="4" t="s">
        <v>129</v>
      </c>
      <c r="D38" s="3">
        <v>8</v>
      </c>
      <c r="E38" s="5" t="s">
        <v>127</v>
      </c>
      <c r="F38" s="6">
        <v>1</v>
      </c>
      <c r="G38" s="5" t="s">
        <v>125</v>
      </c>
      <c r="H38" s="5" t="s">
        <v>32</v>
      </c>
      <c r="I38" s="7"/>
      <c r="J38" s="4"/>
    </row>
    <row r="39" spans="1:10" ht="15.75" customHeight="1" x14ac:dyDescent="0.25">
      <c r="A39" s="2" t="s">
        <v>115</v>
      </c>
      <c r="B39" s="3" t="s">
        <v>130</v>
      </c>
      <c r="C39" s="4" t="s">
        <v>131</v>
      </c>
      <c r="D39" s="3">
        <v>8</v>
      </c>
      <c r="E39" s="5" t="s">
        <v>127</v>
      </c>
      <c r="F39" s="6">
        <v>0.5</v>
      </c>
      <c r="G39" s="5" t="s">
        <v>120</v>
      </c>
      <c r="H39" s="5" t="s">
        <v>32</v>
      </c>
      <c r="I39" s="7"/>
      <c r="J39" s="4"/>
    </row>
    <row r="40" spans="1:10" ht="25.5" customHeight="1" x14ac:dyDescent="0.25">
      <c r="A40" s="2" t="s">
        <v>115</v>
      </c>
      <c r="B40" s="3" t="s">
        <v>132</v>
      </c>
      <c r="C40" s="4" t="s">
        <v>133</v>
      </c>
      <c r="D40" s="3">
        <v>8</v>
      </c>
      <c r="E40" s="5" t="s">
        <v>127</v>
      </c>
      <c r="F40" s="6">
        <v>1</v>
      </c>
      <c r="G40" s="5" t="s">
        <v>128</v>
      </c>
      <c r="H40" s="5" t="s">
        <v>79</v>
      </c>
      <c r="I40" s="7"/>
      <c r="J40" s="4"/>
    </row>
    <row r="41" spans="1:10" ht="25.5" customHeight="1" x14ac:dyDescent="0.25">
      <c r="A41" s="2" t="s">
        <v>134</v>
      </c>
      <c r="B41" s="3" t="s">
        <v>135</v>
      </c>
      <c r="C41" s="4" t="s">
        <v>136</v>
      </c>
      <c r="D41" s="3">
        <v>9</v>
      </c>
      <c r="E41" s="5" t="s">
        <v>137</v>
      </c>
      <c r="F41" s="6">
        <v>0.5</v>
      </c>
      <c r="G41" s="5" t="s">
        <v>138</v>
      </c>
      <c r="H41" s="5" t="s">
        <v>14</v>
      </c>
      <c r="I41" s="7"/>
      <c r="J41" s="4" t="s">
        <v>139</v>
      </c>
    </row>
    <row r="42" spans="1:10" ht="25.5" customHeight="1" x14ac:dyDescent="0.25">
      <c r="A42" s="2" t="s">
        <v>134</v>
      </c>
      <c r="B42" s="3" t="s">
        <v>140</v>
      </c>
      <c r="C42" s="4" t="s">
        <v>141</v>
      </c>
      <c r="D42" s="3">
        <v>9</v>
      </c>
      <c r="E42" s="5" t="s">
        <v>137</v>
      </c>
      <c r="F42" s="6">
        <v>2.5</v>
      </c>
      <c r="G42" s="5" t="s">
        <v>135</v>
      </c>
      <c r="H42" s="5" t="s">
        <v>14</v>
      </c>
      <c r="I42" s="7"/>
      <c r="J42" s="4"/>
    </row>
    <row r="43" spans="1:10" ht="15.75" customHeight="1" x14ac:dyDescent="0.25">
      <c r="A43" s="2" t="s">
        <v>134</v>
      </c>
      <c r="B43" s="3" t="s">
        <v>142</v>
      </c>
      <c r="C43" s="4" t="s">
        <v>143</v>
      </c>
      <c r="D43" s="3">
        <v>9</v>
      </c>
      <c r="E43" s="5" t="s">
        <v>137</v>
      </c>
      <c r="F43" s="6">
        <v>1.5</v>
      </c>
      <c r="G43" s="5" t="s">
        <v>140</v>
      </c>
      <c r="H43" s="5" t="s">
        <v>14</v>
      </c>
      <c r="I43" s="7"/>
      <c r="J43" s="4"/>
    </row>
    <row r="44" spans="1:10" ht="15.75" customHeight="1" x14ac:dyDescent="0.25">
      <c r="A44" s="2" t="s">
        <v>134</v>
      </c>
      <c r="B44" s="3" t="s">
        <v>144</v>
      </c>
      <c r="C44" s="4" t="s">
        <v>145</v>
      </c>
      <c r="D44" s="3">
        <v>10</v>
      </c>
      <c r="E44" s="5" t="s">
        <v>146</v>
      </c>
      <c r="F44" s="6">
        <v>0.75</v>
      </c>
      <c r="G44" s="5" t="s">
        <v>103</v>
      </c>
      <c r="H44" s="5" t="s">
        <v>14</v>
      </c>
      <c r="I44" s="7"/>
      <c r="J44" s="4"/>
    </row>
    <row r="45" spans="1:10" ht="25.5" customHeight="1" x14ac:dyDescent="0.25">
      <c r="A45" s="2" t="s">
        <v>134</v>
      </c>
      <c r="B45" s="3" t="s">
        <v>147</v>
      </c>
      <c r="C45" s="4" t="s">
        <v>148</v>
      </c>
      <c r="D45" s="3">
        <v>10</v>
      </c>
      <c r="E45" s="5" t="s">
        <v>146</v>
      </c>
      <c r="F45" s="6">
        <v>1.5</v>
      </c>
      <c r="G45" s="5" t="s">
        <v>144</v>
      </c>
      <c r="H45" s="5" t="s">
        <v>14</v>
      </c>
      <c r="I45" s="7"/>
      <c r="J45" s="4"/>
    </row>
    <row r="46" spans="1:10" ht="25.5" customHeight="1" x14ac:dyDescent="0.25">
      <c r="A46" s="2" t="s">
        <v>134</v>
      </c>
      <c r="B46" s="3" t="s">
        <v>149</v>
      </c>
      <c r="C46" s="4" t="s">
        <v>150</v>
      </c>
      <c r="D46" s="3">
        <v>10</v>
      </c>
      <c r="E46" s="5" t="s">
        <v>146</v>
      </c>
      <c r="F46" s="6">
        <v>1.5</v>
      </c>
      <c r="G46" s="5" t="s">
        <v>147</v>
      </c>
      <c r="H46" s="5" t="s">
        <v>14</v>
      </c>
      <c r="I46" s="7"/>
      <c r="J46" s="4"/>
    </row>
    <row r="47" spans="1:10" ht="15.75" customHeight="1" x14ac:dyDescent="0.25">
      <c r="A47" s="2" t="s">
        <v>134</v>
      </c>
      <c r="B47" s="3" t="s">
        <v>151</v>
      </c>
      <c r="C47" s="4" t="s">
        <v>152</v>
      </c>
      <c r="D47" s="3">
        <v>10</v>
      </c>
      <c r="E47" s="5" t="s">
        <v>146</v>
      </c>
      <c r="F47" s="6">
        <v>0.5</v>
      </c>
      <c r="G47" s="5" t="s">
        <v>147</v>
      </c>
      <c r="H47" s="5" t="s">
        <v>14</v>
      </c>
      <c r="I47" s="7"/>
      <c r="J47" s="4"/>
    </row>
    <row r="48" spans="1:10" ht="15.75" customHeight="1" x14ac:dyDescent="0.25">
      <c r="A48" s="2" t="s">
        <v>153</v>
      </c>
      <c r="B48" s="3" t="s">
        <v>154</v>
      </c>
      <c r="C48" s="4" t="s">
        <v>155</v>
      </c>
      <c r="D48" s="3">
        <v>11</v>
      </c>
      <c r="E48" s="5" t="s">
        <v>156</v>
      </c>
      <c r="F48" s="6">
        <v>2</v>
      </c>
      <c r="G48" s="5" t="s">
        <v>157</v>
      </c>
      <c r="H48" s="5" t="s">
        <v>158</v>
      </c>
      <c r="I48" s="7"/>
      <c r="J48" s="4" t="s">
        <v>159</v>
      </c>
    </row>
    <row r="49" spans="1:10" ht="15.75" customHeight="1" x14ac:dyDescent="0.25">
      <c r="A49" s="2" t="s">
        <v>153</v>
      </c>
      <c r="B49" s="3" t="s">
        <v>160</v>
      </c>
      <c r="C49" s="4" t="s">
        <v>161</v>
      </c>
      <c r="D49" s="3">
        <v>11</v>
      </c>
      <c r="E49" s="5" t="s">
        <v>156</v>
      </c>
      <c r="F49" s="6">
        <v>2</v>
      </c>
      <c r="G49" s="5" t="s">
        <v>154</v>
      </c>
      <c r="H49" s="5" t="s">
        <v>14</v>
      </c>
      <c r="I49" s="7"/>
      <c r="J49" s="4"/>
    </row>
    <row r="50" spans="1:10" ht="15.75" customHeight="1" x14ac:dyDescent="0.25">
      <c r="A50" s="2" t="s">
        <v>153</v>
      </c>
      <c r="B50" s="3" t="s">
        <v>162</v>
      </c>
      <c r="C50" s="4" t="s">
        <v>163</v>
      </c>
      <c r="D50" s="3">
        <v>11</v>
      </c>
      <c r="E50" s="5" t="s">
        <v>156</v>
      </c>
      <c r="F50" s="6">
        <v>1</v>
      </c>
      <c r="G50" s="5" t="s">
        <v>160</v>
      </c>
      <c r="H50" s="5" t="s">
        <v>14</v>
      </c>
      <c r="I50" s="7"/>
      <c r="J50" s="4"/>
    </row>
    <row r="51" spans="1:10" ht="15.75" customHeight="1" x14ac:dyDescent="0.25">
      <c r="A51" s="2" t="s">
        <v>153</v>
      </c>
      <c r="B51" s="3" t="s">
        <v>164</v>
      </c>
      <c r="C51" s="4" t="s">
        <v>165</v>
      </c>
      <c r="D51" s="3">
        <v>12</v>
      </c>
      <c r="E51" s="5" t="s">
        <v>166</v>
      </c>
      <c r="F51" s="6">
        <v>1.5</v>
      </c>
      <c r="G51" s="5" t="s">
        <v>14</v>
      </c>
      <c r="H51" s="5" t="s">
        <v>167</v>
      </c>
      <c r="I51" s="7"/>
      <c r="J51" s="4"/>
    </row>
    <row r="52" spans="1:10" ht="25.5" customHeight="1" x14ac:dyDescent="0.25">
      <c r="A52" s="2" t="s">
        <v>153</v>
      </c>
      <c r="B52" s="3" t="s">
        <v>168</v>
      </c>
      <c r="C52" s="4" t="s">
        <v>169</v>
      </c>
      <c r="D52" s="3">
        <v>12</v>
      </c>
      <c r="E52" s="5" t="s">
        <v>166</v>
      </c>
      <c r="F52" s="6">
        <v>1.5</v>
      </c>
      <c r="G52" s="5" t="s">
        <v>14</v>
      </c>
      <c r="H52" s="5" t="s">
        <v>14</v>
      </c>
      <c r="I52" s="7"/>
      <c r="J52" s="4"/>
    </row>
    <row r="53" spans="1:10" ht="15.75" customHeight="1" x14ac:dyDescent="0.25">
      <c r="A53" s="2" t="s">
        <v>153</v>
      </c>
      <c r="B53" s="3" t="s">
        <v>170</v>
      </c>
      <c r="C53" s="4" t="s">
        <v>171</v>
      </c>
      <c r="D53" s="3">
        <v>12</v>
      </c>
      <c r="E53" s="5" t="s">
        <v>166</v>
      </c>
      <c r="F53" s="6">
        <v>1</v>
      </c>
      <c r="G53" s="5" t="s">
        <v>168</v>
      </c>
      <c r="H53" s="5" t="s">
        <v>14</v>
      </c>
      <c r="I53" s="7"/>
      <c r="J53" s="4"/>
    </row>
    <row r="54" spans="1:10" ht="25.5" customHeight="1" x14ac:dyDescent="0.25">
      <c r="A54" s="2" t="s">
        <v>153</v>
      </c>
      <c r="B54" s="3" t="s">
        <v>172</v>
      </c>
      <c r="C54" s="4" t="s">
        <v>173</v>
      </c>
      <c r="D54" s="3">
        <v>13</v>
      </c>
      <c r="E54" s="5" t="s">
        <v>174</v>
      </c>
      <c r="F54" s="6">
        <v>0.5</v>
      </c>
      <c r="G54" s="5" t="s">
        <v>170</v>
      </c>
      <c r="H54" s="5" t="s">
        <v>26</v>
      </c>
      <c r="I54" s="7"/>
      <c r="J54" s="4"/>
    </row>
    <row r="55" spans="1:10" ht="15.75" customHeight="1" x14ac:dyDescent="0.25">
      <c r="A55" s="2" t="s">
        <v>153</v>
      </c>
      <c r="B55" s="3" t="s">
        <v>175</v>
      </c>
      <c r="C55" s="4" t="s">
        <v>176</v>
      </c>
      <c r="D55" s="3">
        <v>13</v>
      </c>
      <c r="E55" s="5" t="s">
        <v>174</v>
      </c>
      <c r="F55" s="6">
        <v>1</v>
      </c>
      <c r="G55" s="5" t="s">
        <v>170</v>
      </c>
      <c r="H55" s="5" t="s">
        <v>14</v>
      </c>
      <c r="I55" s="7"/>
      <c r="J55" s="4"/>
    </row>
    <row r="56" spans="1:10" ht="15.75" customHeight="1" x14ac:dyDescent="0.25">
      <c r="A56" s="2" t="s">
        <v>153</v>
      </c>
      <c r="B56" s="3" t="s">
        <v>177</v>
      </c>
      <c r="C56" s="4" t="s">
        <v>178</v>
      </c>
      <c r="D56" s="3">
        <v>13</v>
      </c>
      <c r="E56" s="5" t="s">
        <v>174</v>
      </c>
      <c r="F56" s="6">
        <v>0.25</v>
      </c>
      <c r="G56" s="5" t="s">
        <v>168</v>
      </c>
      <c r="H56" s="5" t="s">
        <v>14</v>
      </c>
      <c r="I56" s="7"/>
      <c r="J56" s="4"/>
    </row>
    <row r="57" spans="1:10" ht="15.75" customHeight="1" x14ac:dyDescent="0.25">
      <c r="A57" s="2" t="s">
        <v>179</v>
      </c>
      <c r="B57" s="3" t="s">
        <v>180</v>
      </c>
      <c r="C57" s="4" t="s">
        <v>181</v>
      </c>
      <c r="D57" s="3">
        <v>14</v>
      </c>
      <c r="E57" s="5" t="s">
        <v>182</v>
      </c>
      <c r="F57" s="6">
        <v>1.5</v>
      </c>
      <c r="G57" s="5" t="s">
        <v>183</v>
      </c>
      <c r="H57" s="5" t="s">
        <v>14</v>
      </c>
      <c r="I57" s="7"/>
      <c r="J57" s="4"/>
    </row>
    <row r="58" spans="1:10" ht="15.75" customHeight="1" x14ac:dyDescent="0.25">
      <c r="A58" s="2" t="s">
        <v>179</v>
      </c>
      <c r="B58" s="3" t="s">
        <v>184</v>
      </c>
      <c r="C58" s="4" t="s">
        <v>185</v>
      </c>
      <c r="D58" s="3">
        <v>14</v>
      </c>
      <c r="E58" s="5" t="s">
        <v>182</v>
      </c>
      <c r="F58" s="6">
        <v>1</v>
      </c>
      <c r="G58" s="5" t="s">
        <v>186</v>
      </c>
      <c r="H58" s="5" t="s">
        <v>14</v>
      </c>
      <c r="I58" s="7"/>
      <c r="J58" s="4"/>
    </row>
    <row r="59" spans="1:10" ht="15.75" customHeight="1" x14ac:dyDescent="0.25">
      <c r="A59" s="2" t="s">
        <v>179</v>
      </c>
      <c r="B59" s="3" t="s">
        <v>187</v>
      </c>
      <c r="C59" s="4" t="s">
        <v>188</v>
      </c>
      <c r="D59" s="3">
        <v>14</v>
      </c>
      <c r="E59" s="5" t="s">
        <v>182</v>
      </c>
      <c r="F59" s="6">
        <v>1</v>
      </c>
      <c r="G59" s="5" t="s">
        <v>184</v>
      </c>
      <c r="H59" s="5" t="s">
        <v>14</v>
      </c>
      <c r="I59" s="7"/>
      <c r="J59" s="4"/>
    </row>
    <row r="60" spans="1:10" ht="15.75" customHeight="1" x14ac:dyDescent="0.25">
      <c r="A60" s="2" t="s">
        <v>179</v>
      </c>
      <c r="B60" s="3" t="s">
        <v>189</v>
      </c>
      <c r="C60" s="4" t="s">
        <v>190</v>
      </c>
      <c r="D60" s="3">
        <v>14</v>
      </c>
      <c r="E60" s="5" t="s">
        <v>182</v>
      </c>
      <c r="F60" s="6">
        <v>0.5</v>
      </c>
      <c r="G60" s="5" t="s">
        <v>187</v>
      </c>
      <c r="H60" s="5" t="s">
        <v>14</v>
      </c>
      <c r="I60" s="7"/>
      <c r="J60" s="4"/>
    </row>
  </sheetData>
  <autoFilter ref="A1:J60" xr:uid="{00000000-0009-0000-0000-000000000000}"/>
  <conditionalFormatting sqref="A2:J60">
    <cfRule type="expression" dxfId="1" priority="2">
      <formula>$I2="✓"</formula>
    </cfRule>
  </conditionalFormatting>
  <dataValidations count="1">
    <dataValidation type="list" allowBlank="1" error="Lütfen listeden ✓ seçin veya hücreyi boş bırakın." promptTitle="Yapıldı mı?" prompt="Görev bittiyse ✓ seçin — satır yeşile döner." sqref="I2:I60" xr:uid="{00000000-0002-0000-0000-000000000000}">
      <formula1>"✓"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zoomScaleNormal="100" workbookViewId="0"/>
  </sheetViews>
  <sheetFormatPr defaultColWidth="8.7109375" defaultRowHeight="15" x14ac:dyDescent="0.25"/>
  <cols>
    <col min="1" max="1" width="30" customWidth="1"/>
    <col min="2" max="3" width="10" customWidth="1"/>
    <col min="4" max="5" width="17" customWidth="1"/>
    <col min="6" max="6" width="12" customWidth="1"/>
  </cols>
  <sheetData>
    <row r="1" spans="1:6" ht="18" customHeight="1" x14ac:dyDescent="0.25">
      <c r="A1" s="8" t="s">
        <v>191</v>
      </c>
    </row>
    <row r="2" spans="1:6" x14ac:dyDescent="0.25">
      <c r="A2" s="9" t="s">
        <v>192</v>
      </c>
    </row>
    <row r="3" spans="1:6" x14ac:dyDescent="0.25">
      <c r="A3" s="10" t="s">
        <v>193</v>
      </c>
    </row>
    <row r="5" spans="1:6" ht="30" customHeight="1" x14ac:dyDescent="0.25">
      <c r="A5" s="1" t="s">
        <v>0</v>
      </c>
      <c r="B5" s="1" t="s">
        <v>2</v>
      </c>
      <c r="C5" s="1" t="s">
        <v>194</v>
      </c>
      <c r="D5" s="1" t="s">
        <v>195</v>
      </c>
      <c r="E5" s="1" t="s">
        <v>196</v>
      </c>
      <c r="F5" s="1" t="s">
        <v>197</v>
      </c>
    </row>
    <row r="6" spans="1:6" x14ac:dyDescent="0.25">
      <c r="A6" s="11" t="s">
        <v>10</v>
      </c>
      <c r="B6" s="12">
        <f>COUNTIF('Görev Takibi'!$A$2:$A$60,$A6)</f>
        <v>9</v>
      </c>
      <c r="C6" s="12">
        <f>COUNTIFS('Görev Takibi'!$A$2:$A$60,$A6,'Görev Takibi'!$I$2:$I$60,"✓")</f>
        <v>9</v>
      </c>
      <c r="D6" s="13">
        <f>SUMIF('Görev Takibi'!$A$2:$A$60,$A6,'Görev Takibi'!$F$2:$F$60)</f>
        <v>3.83</v>
      </c>
      <c r="E6" s="13">
        <f>SUMIFS('Görev Takibi'!$F$2:$F$60,'Görev Takibi'!$A$2:$A$60,$A6,'Görev Takibi'!$I$2:$I$60,"✓")</f>
        <v>3.83</v>
      </c>
      <c r="F6" s="14">
        <f t="shared" ref="F6:F15" si="0">IFERROR($C6/$B6,0)</f>
        <v>1</v>
      </c>
    </row>
    <row r="7" spans="1:6" x14ac:dyDescent="0.25">
      <c r="A7" s="11" t="s">
        <v>40</v>
      </c>
      <c r="B7" s="12">
        <f>COUNTIF('Görev Takibi'!$A$2:$A$60,$A7)</f>
        <v>9</v>
      </c>
      <c r="C7" s="12">
        <f>COUNTIFS('Görev Takibi'!$A$2:$A$60,$A7,'Görev Takibi'!$I$2:$I$60,"✓")</f>
        <v>9</v>
      </c>
      <c r="D7" s="13">
        <f>SUMIF('Görev Takibi'!$A$2:$A$60,$A7,'Görev Takibi'!$F$2:$F$60)</f>
        <v>8.08</v>
      </c>
      <c r="E7" s="13">
        <f>SUMIFS('Görev Takibi'!$F$2:$F$60,'Görev Takibi'!$A$2:$A$60,$A7,'Görev Takibi'!$I$2:$I$60,"✓")</f>
        <v>8.08</v>
      </c>
      <c r="F7" s="14">
        <f t="shared" si="0"/>
        <v>1</v>
      </c>
    </row>
    <row r="8" spans="1:6" x14ac:dyDescent="0.25">
      <c r="A8" s="11" t="s">
        <v>75</v>
      </c>
      <c r="B8" s="12">
        <f>COUNTIF('Görev Takibi'!$A$2:$A$60,$A8)</f>
        <v>3</v>
      </c>
      <c r="C8" s="12">
        <f>COUNTIFS('Görev Takibi'!$A$2:$A$60,$A8,'Görev Takibi'!$I$2:$I$60,"✓")</f>
        <v>0</v>
      </c>
      <c r="D8" s="13">
        <f>SUMIF('Görev Takibi'!$A$2:$A$60,$A8,'Görev Takibi'!$F$2:$F$60)</f>
        <v>4.25</v>
      </c>
      <c r="E8" s="13">
        <f>SUMIFS('Görev Takibi'!$F$2:$F$60,'Görev Takibi'!$A$2:$A$60,$A8,'Görev Takibi'!$I$2:$I$60,"✓")</f>
        <v>0</v>
      </c>
      <c r="F8" s="14">
        <f t="shared" si="0"/>
        <v>0</v>
      </c>
    </row>
    <row r="9" spans="1:6" x14ac:dyDescent="0.25">
      <c r="A9" s="11" t="s">
        <v>85</v>
      </c>
      <c r="B9" s="12">
        <f>COUNTIF('Görev Takibi'!$A$2:$A$60,$A9)</f>
        <v>5</v>
      </c>
      <c r="C9" s="12">
        <f>COUNTIFS('Görev Takibi'!$A$2:$A$60,$A9,'Görev Takibi'!$I$2:$I$60,"✓")</f>
        <v>0</v>
      </c>
      <c r="D9" s="13">
        <f>SUMIF('Görev Takibi'!$A$2:$A$60,$A9,'Görev Takibi'!$F$2:$F$60)</f>
        <v>5.25</v>
      </c>
      <c r="E9" s="13">
        <f>SUMIFS('Görev Takibi'!$F$2:$F$60,'Görev Takibi'!$A$2:$A$60,$A9,'Görev Takibi'!$I$2:$I$60,"✓")</f>
        <v>0</v>
      </c>
      <c r="F9" s="14">
        <f t="shared" si="0"/>
        <v>0</v>
      </c>
    </row>
    <row r="10" spans="1:6" x14ac:dyDescent="0.25">
      <c r="A10" s="11" t="s">
        <v>99</v>
      </c>
      <c r="B10" s="12">
        <f>COUNTIF('Görev Takibi'!$A$2:$A$60,$A10)</f>
        <v>6</v>
      </c>
      <c r="C10" s="12">
        <f>COUNTIFS('Görev Takibi'!$A$2:$A$60,$A10,'Görev Takibi'!$I$2:$I$60,"✓")</f>
        <v>0</v>
      </c>
      <c r="D10" s="13">
        <f>SUMIF('Görev Takibi'!$A$2:$A$60,$A10,'Görev Takibi'!$F$2:$F$60)</f>
        <v>8.25</v>
      </c>
      <c r="E10" s="13">
        <f>SUMIFS('Görev Takibi'!$F$2:$F$60,'Görev Takibi'!$A$2:$A$60,$A10,'Görev Takibi'!$I$2:$I$60,"✓")</f>
        <v>0</v>
      </c>
      <c r="F10" s="14">
        <f t="shared" si="0"/>
        <v>0</v>
      </c>
    </row>
    <row r="11" spans="1:6" x14ac:dyDescent="0.25">
      <c r="A11" s="11" t="s">
        <v>115</v>
      </c>
      <c r="B11" s="12">
        <f>COUNTIF('Görev Takibi'!$A$2:$A$60,$A11)</f>
        <v>7</v>
      </c>
      <c r="C11" s="12">
        <f>COUNTIFS('Görev Takibi'!$A$2:$A$60,$A11,'Görev Takibi'!$I$2:$I$60,"✓")</f>
        <v>0</v>
      </c>
      <c r="D11" s="13">
        <f>SUMIF('Görev Takibi'!$A$2:$A$60,$A11,'Görev Takibi'!$F$2:$F$60)</f>
        <v>8.5</v>
      </c>
      <c r="E11" s="13">
        <f>SUMIFS('Görev Takibi'!$F$2:$F$60,'Görev Takibi'!$A$2:$A$60,$A11,'Görev Takibi'!$I$2:$I$60,"✓")</f>
        <v>0</v>
      </c>
      <c r="F11" s="14">
        <f t="shared" si="0"/>
        <v>0</v>
      </c>
    </row>
    <row r="12" spans="1:6" x14ac:dyDescent="0.25">
      <c r="A12" s="11" t="s">
        <v>134</v>
      </c>
      <c r="B12" s="12">
        <f>COUNTIF('Görev Takibi'!$A$2:$A$60,$A12)</f>
        <v>7</v>
      </c>
      <c r="C12" s="12">
        <f>COUNTIFS('Görev Takibi'!$A$2:$A$60,$A12,'Görev Takibi'!$I$2:$I$60,"✓")</f>
        <v>0</v>
      </c>
      <c r="D12" s="13">
        <f>SUMIF('Görev Takibi'!$A$2:$A$60,$A12,'Görev Takibi'!$F$2:$F$60)</f>
        <v>8.75</v>
      </c>
      <c r="E12" s="13">
        <f>SUMIFS('Görev Takibi'!$F$2:$F$60,'Görev Takibi'!$A$2:$A$60,$A12,'Görev Takibi'!$I$2:$I$60,"✓")</f>
        <v>0</v>
      </c>
      <c r="F12" s="14">
        <f t="shared" si="0"/>
        <v>0</v>
      </c>
    </row>
    <row r="13" spans="1:6" x14ac:dyDescent="0.25">
      <c r="A13" s="11" t="s">
        <v>153</v>
      </c>
      <c r="B13" s="12">
        <f>COUNTIF('Görev Takibi'!$A$2:$A$60,$A13)</f>
        <v>9</v>
      </c>
      <c r="C13" s="12">
        <f>COUNTIFS('Görev Takibi'!$A$2:$A$60,$A13,'Görev Takibi'!$I$2:$I$60,"✓")</f>
        <v>0</v>
      </c>
      <c r="D13" s="13">
        <f>SUMIF('Görev Takibi'!$A$2:$A$60,$A13,'Görev Takibi'!$F$2:$F$60)</f>
        <v>10.75</v>
      </c>
      <c r="E13" s="13">
        <f>SUMIFS('Görev Takibi'!$F$2:$F$60,'Görev Takibi'!$A$2:$A$60,$A13,'Görev Takibi'!$I$2:$I$60,"✓")</f>
        <v>0</v>
      </c>
      <c r="F13" s="14">
        <f t="shared" si="0"/>
        <v>0</v>
      </c>
    </row>
    <row r="14" spans="1:6" x14ac:dyDescent="0.25">
      <c r="A14" s="11" t="s">
        <v>179</v>
      </c>
      <c r="B14" s="12">
        <f>COUNTIF('Görev Takibi'!$A$2:$A$60,$A14)</f>
        <v>4</v>
      </c>
      <c r="C14" s="12">
        <f>COUNTIFS('Görev Takibi'!$A$2:$A$60,$A14,'Görev Takibi'!$I$2:$I$60,"✓")</f>
        <v>0</v>
      </c>
      <c r="D14" s="13">
        <f>SUMIF('Görev Takibi'!$A$2:$A$60,$A14,'Görev Takibi'!$F$2:$F$60)</f>
        <v>4</v>
      </c>
      <c r="E14" s="13">
        <f>SUMIFS('Görev Takibi'!$F$2:$F$60,'Görev Takibi'!$A$2:$A$60,$A14,'Görev Takibi'!$I$2:$I$60,"✓")</f>
        <v>0</v>
      </c>
      <c r="F14" s="14">
        <f t="shared" si="0"/>
        <v>0</v>
      </c>
    </row>
    <row r="15" spans="1:6" x14ac:dyDescent="0.25">
      <c r="A15" s="15" t="s">
        <v>198</v>
      </c>
      <c r="B15" s="16">
        <f>SUM(B6:B14)</f>
        <v>59</v>
      </c>
      <c r="C15" s="16">
        <f>SUM(C6:C14)</f>
        <v>18</v>
      </c>
      <c r="D15" s="17">
        <f>SUM(D6:D14)</f>
        <v>61.66</v>
      </c>
      <c r="E15" s="17">
        <f>SUM(E6:E14)</f>
        <v>11.91</v>
      </c>
      <c r="F15" s="18">
        <f t="shared" si="0"/>
        <v>0.30508474576271188</v>
      </c>
    </row>
    <row r="17" spans="1:1" x14ac:dyDescent="0.25">
      <c r="A17" s="19" t="s">
        <v>199</v>
      </c>
    </row>
    <row r="18" spans="1:1" x14ac:dyDescent="0.25">
      <c r="A18" s="20" t="s">
        <v>200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10" customWidth="1"/>
    <col min="3" max="3" width="34" customWidth="1"/>
    <col min="4" max="4" width="82" customWidth="1"/>
    <col min="5" max="5" width="18" customWidth="1"/>
    <col min="6" max="6" width="13" customWidth="1"/>
  </cols>
  <sheetData>
    <row r="1" spans="1:6" ht="30" customHeight="1" x14ac:dyDescent="0.25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</row>
    <row r="2" spans="1:6" ht="25.5" customHeight="1" x14ac:dyDescent="0.25">
      <c r="A2" s="21" t="s">
        <v>32</v>
      </c>
      <c r="B2" s="22" t="s">
        <v>207</v>
      </c>
      <c r="C2" s="4" t="s">
        <v>208</v>
      </c>
      <c r="D2" s="4" t="s">
        <v>209</v>
      </c>
      <c r="E2" s="5" t="s">
        <v>210</v>
      </c>
      <c r="F2" s="7"/>
    </row>
    <row r="3" spans="1:6" ht="25.5" customHeight="1" x14ac:dyDescent="0.25">
      <c r="A3" s="21" t="s">
        <v>22</v>
      </c>
      <c r="B3" s="22" t="s">
        <v>207</v>
      </c>
      <c r="C3" s="4" t="s">
        <v>211</v>
      </c>
      <c r="D3" s="4" t="s">
        <v>212</v>
      </c>
      <c r="E3" s="5" t="s">
        <v>20</v>
      </c>
      <c r="F3" s="7" t="s">
        <v>16</v>
      </c>
    </row>
    <row r="4" spans="1:6" ht="15.75" customHeight="1" x14ac:dyDescent="0.25">
      <c r="A4" s="21" t="s">
        <v>15</v>
      </c>
      <c r="B4" s="22" t="s">
        <v>207</v>
      </c>
      <c r="C4" s="4" t="s">
        <v>213</v>
      </c>
      <c r="D4" s="4" t="s">
        <v>214</v>
      </c>
      <c r="E4" s="5" t="s">
        <v>215</v>
      </c>
      <c r="F4" s="7"/>
    </row>
    <row r="5" spans="1:6" ht="25.5" customHeight="1" x14ac:dyDescent="0.25">
      <c r="A5" s="21" t="s">
        <v>216</v>
      </c>
      <c r="B5" s="23" t="s">
        <v>217</v>
      </c>
      <c r="C5" s="4" t="s">
        <v>218</v>
      </c>
      <c r="D5" s="4" t="s">
        <v>219</v>
      </c>
      <c r="E5" s="5" t="s">
        <v>46</v>
      </c>
      <c r="F5" s="7" t="s">
        <v>16</v>
      </c>
    </row>
    <row r="6" spans="1:6" ht="25.5" customHeight="1" x14ac:dyDescent="0.25">
      <c r="A6" s="21" t="s">
        <v>51</v>
      </c>
      <c r="B6" s="23" t="s">
        <v>217</v>
      </c>
      <c r="C6" s="4" t="s">
        <v>220</v>
      </c>
      <c r="D6" s="4" t="s">
        <v>221</v>
      </c>
      <c r="E6" s="5" t="s">
        <v>49</v>
      </c>
      <c r="F6" s="7"/>
    </row>
    <row r="7" spans="1:6" ht="15.75" customHeight="1" x14ac:dyDescent="0.25">
      <c r="A7" s="21" t="s">
        <v>89</v>
      </c>
      <c r="B7" s="23" t="s">
        <v>217</v>
      </c>
      <c r="C7" s="4" t="s">
        <v>222</v>
      </c>
      <c r="D7" s="4" t="s">
        <v>223</v>
      </c>
      <c r="E7" s="5" t="s">
        <v>224</v>
      </c>
      <c r="F7" s="7"/>
    </row>
    <row r="8" spans="1:6" ht="25.5" customHeight="1" x14ac:dyDescent="0.25">
      <c r="A8" s="21" t="s">
        <v>225</v>
      </c>
      <c r="B8" s="23" t="s">
        <v>217</v>
      </c>
      <c r="C8" s="4" t="s">
        <v>226</v>
      </c>
      <c r="D8" s="4" t="s">
        <v>227</v>
      </c>
      <c r="E8" s="5" t="s">
        <v>228</v>
      </c>
      <c r="F8" s="7" t="s">
        <v>16</v>
      </c>
    </row>
    <row r="9" spans="1:6" ht="15.75" customHeight="1" x14ac:dyDescent="0.25">
      <c r="A9" s="21" t="s">
        <v>70</v>
      </c>
      <c r="B9" s="23" t="s">
        <v>217</v>
      </c>
      <c r="C9" s="4" t="s">
        <v>222</v>
      </c>
      <c r="D9" s="4" t="s">
        <v>229</v>
      </c>
      <c r="E9" s="5" t="s">
        <v>68</v>
      </c>
      <c r="F9" s="7"/>
    </row>
    <row r="10" spans="1:6" ht="15.75" customHeight="1" x14ac:dyDescent="0.25">
      <c r="A10" s="21" t="s">
        <v>230</v>
      </c>
      <c r="B10" s="24" t="s">
        <v>231</v>
      </c>
      <c r="C10" s="4" t="s">
        <v>232</v>
      </c>
      <c r="D10" s="4" t="s">
        <v>233</v>
      </c>
      <c r="E10" s="5" t="s">
        <v>60</v>
      </c>
      <c r="F10" s="7"/>
    </row>
    <row r="11" spans="1:6" ht="15.75" customHeight="1" x14ac:dyDescent="0.25">
      <c r="A11" s="21" t="s">
        <v>234</v>
      </c>
      <c r="B11" s="24" t="s">
        <v>231</v>
      </c>
      <c r="C11" s="4" t="s">
        <v>235</v>
      </c>
      <c r="D11" s="4" t="s">
        <v>236</v>
      </c>
      <c r="E11" s="5" t="s">
        <v>56</v>
      </c>
      <c r="F11" s="7" t="s">
        <v>16</v>
      </c>
    </row>
    <row r="12" spans="1:6" ht="15.75" customHeight="1" x14ac:dyDescent="0.25">
      <c r="A12" s="21" t="s">
        <v>237</v>
      </c>
      <c r="B12" s="24" t="s">
        <v>231</v>
      </c>
      <c r="C12" s="4" t="s">
        <v>235</v>
      </c>
      <c r="D12" s="4" t="s">
        <v>238</v>
      </c>
      <c r="E12" s="5" t="s">
        <v>56</v>
      </c>
      <c r="F12" s="7" t="s">
        <v>16</v>
      </c>
    </row>
    <row r="13" spans="1:6" ht="15.75" customHeight="1" x14ac:dyDescent="0.25">
      <c r="A13" s="21" t="s">
        <v>239</v>
      </c>
      <c r="B13" s="24" t="s">
        <v>231</v>
      </c>
      <c r="C13" s="4" t="s">
        <v>240</v>
      </c>
      <c r="D13" s="4" t="s">
        <v>241</v>
      </c>
      <c r="E13" s="5" t="s">
        <v>46</v>
      </c>
      <c r="F13" s="7" t="s">
        <v>16</v>
      </c>
    </row>
    <row r="14" spans="1:6" ht="25.5" customHeight="1" x14ac:dyDescent="0.25">
      <c r="A14" s="21" t="s">
        <v>167</v>
      </c>
      <c r="B14" s="24" t="s">
        <v>231</v>
      </c>
      <c r="C14" s="4" t="s">
        <v>242</v>
      </c>
      <c r="D14" s="4" t="s">
        <v>243</v>
      </c>
      <c r="E14" s="5" t="s">
        <v>244</v>
      </c>
      <c r="F14" s="7"/>
    </row>
    <row r="15" spans="1:6" ht="15.75" customHeight="1" x14ac:dyDescent="0.25">
      <c r="A15" s="21" t="s">
        <v>79</v>
      </c>
      <c r="B15" s="24" t="s">
        <v>231</v>
      </c>
      <c r="C15" s="4" t="s">
        <v>245</v>
      </c>
      <c r="D15" s="4" t="s">
        <v>246</v>
      </c>
      <c r="E15" s="5" t="s">
        <v>247</v>
      </c>
      <c r="F15" s="7"/>
    </row>
    <row r="16" spans="1:6" ht="15.75" customHeight="1" x14ac:dyDescent="0.25">
      <c r="A16" s="21" t="s">
        <v>26</v>
      </c>
      <c r="B16" s="24" t="s">
        <v>231</v>
      </c>
      <c r="C16" s="4" t="s">
        <v>248</v>
      </c>
      <c r="D16" s="4" t="s">
        <v>249</v>
      </c>
      <c r="E16" s="5" t="s">
        <v>250</v>
      </c>
      <c r="F16" s="7" t="s">
        <v>16</v>
      </c>
    </row>
    <row r="17" spans="1:6" ht="15.75" customHeight="1" x14ac:dyDescent="0.25">
      <c r="A17" s="21" t="s">
        <v>55</v>
      </c>
      <c r="B17" s="24" t="s">
        <v>231</v>
      </c>
      <c r="C17" s="4" t="s">
        <v>251</v>
      </c>
      <c r="D17" s="4" t="s">
        <v>252</v>
      </c>
      <c r="E17" s="5" t="s">
        <v>53</v>
      </c>
      <c r="F17" s="7" t="s">
        <v>16</v>
      </c>
    </row>
    <row r="18" spans="1:6" ht="15.75" customHeight="1" x14ac:dyDescent="0.25">
      <c r="A18" s="21" t="s">
        <v>253</v>
      </c>
      <c r="B18" s="25" t="s">
        <v>254</v>
      </c>
      <c r="C18" s="4" t="s">
        <v>255</v>
      </c>
      <c r="D18" s="4" t="s">
        <v>256</v>
      </c>
      <c r="E18" s="5" t="s">
        <v>33</v>
      </c>
      <c r="F18" s="7" t="s">
        <v>16</v>
      </c>
    </row>
    <row r="19" spans="1:6" ht="15.75" customHeight="1" x14ac:dyDescent="0.25">
      <c r="A19" s="21" t="s">
        <v>29</v>
      </c>
      <c r="B19" s="25" t="s">
        <v>254</v>
      </c>
      <c r="C19" s="4" t="s">
        <v>14</v>
      </c>
      <c r="D19" s="4" t="s">
        <v>257</v>
      </c>
      <c r="E19" s="5" t="s">
        <v>27</v>
      </c>
      <c r="F19" s="7" t="s">
        <v>16</v>
      </c>
    </row>
    <row r="20" spans="1:6" ht="15.75" customHeight="1" x14ac:dyDescent="0.25">
      <c r="A20" s="21" t="s">
        <v>258</v>
      </c>
      <c r="B20" s="25" t="s">
        <v>254</v>
      </c>
      <c r="C20" s="4" t="s">
        <v>259</v>
      </c>
      <c r="D20" s="4" t="s">
        <v>260</v>
      </c>
      <c r="E20" s="5" t="s">
        <v>41</v>
      </c>
      <c r="F20" s="7" t="s">
        <v>16</v>
      </c>
    </row>
    <row r="21" spans="1:6" ht="25.5" customHeight="1" x14ac:dyDescent="0.25">
      <c r="A21" s="21" t="s">
        <v>261</v>
      </c>
      <c r="B21" s="25" t="s">
        <v>254</v>
      </c>
      <c r="C21" s="4" t="s">
        <v>262</v>
      </c>
      <c r="D21" s="4" t="s">
        <v>263</v>
      </c>
      <c r="E21" s="5" t="s">
        <v>33</v>
      </c>
      <c r="F21" s="7" t="s">
        <v>16</v>
      </c>
    </row>
    <row r="22" spans="1:6" ht="15.75" customHeight="1" x14ac:dyDescent="0.25">
      <c r="A22" s="21" t="s">
        <v>264</v>
      </c>
      <c r="B22" s="25" t="s">
        <v>254</v>
      </c>
      <c r="C22" s="4" t="s">
        <v>232</v>
      </c>
      <c r="D22" s="4" t="s">
        <v>265</v>
      </c>
      <c r="E22" s="5" t="s">
        <v>64</v>
      </c>
      <c r="F22" s="7"/>
    </row>
    <row r="23" spans="1:6" ht="15.75" customHeight="1" x14ac:dyDescent="0.25">
      <c r="A23" s="21" t="s">
        <v>158</v>
      </c>
      <c r="B23" s="25" t="s">
        <v>254</v>
      </c>
      <c r="C23" s="4" t="s">
        <v>14</v>
      </c>
      <c r="D23" s="4" t="s">
        <v>266</v>
      </c>
      <c r="E23" s="5" t="s">
        <v>154</v>
      </c>
      <c r="F23" s="7"/>
    </row>
  </sheetData>
  <autoFilter ref="A1:F23" xr:uid="{00000000-0009-0000-0000-000002000000}"/>
  <conditionalFormatting sqref="A2:F23">
    <cfRule type="expression" dxfId="0" priority="2">
      <formula>$F2="✓"</formula>
    </cfRule>
  </conditionalFormatting>
  <dataValidations count="1">
    <dataValidation type="list" allowBlank="1" promptTitle="Çözüldü mü?" prompt="Bulgu kapatıldıysa ✓ seçin." sqref="F2:F23" xr:uid="{00000000-0002-0000-0200-000000000000}">
      <formula1>"✓"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Görev Takibi</vt:lpstr>
      <vt:lpstr>Özet</vt:lpstr>
      <vt:lpstr>Denetim Bulguları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Mehmet Akif AYZİT</cp:lastModifiedBy>
  <cp:revision>0</cp:revision>
  <dcterms:created xsi:type="dcterms:W3CDTF">2026-08-18T13:18:34Z</dcterms:created>
  <dcterms:modified xsi:type="dcterms:W3CDTF">2026-10-16T19:41:30Z</dcterms:modified>
  <dc:language>en-US</dc:language>
</cp:coreProperties>
</file>